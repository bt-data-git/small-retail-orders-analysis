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My Drive\data analyst\project 1 supermarket sales data set\"/>
    </mc:Choice>
  </mc:AlternateContent>
  <xr:revisionPtr revIDLastSave="0" documentId="13_ncr:1_{98298E16-7CBE-4735-84FF-2A9283190640}" xr6:coauthVersionLast="47" xr6:coauthVersionMax="47" xr10:uidLastSave="{00000000-0000-0000-0000-000000000000}"/>
  <bookViews>
    <workbookView xWindow="-120" yWindow="-16320" windowWidth="29040" windowHeight="15720" activeTab="3" xr2:uid="{13F4AE79-2971-4DD1-83EB-84B9C5A6F743}"/>
  </bookViews>
  <sheets>
    <sheet name="Raw Data" sheetId="5" r:id="rId1"/>
    <sheet name="Clean Data" sheetId="3" r:id="rId2"/>
    <sheet name="Pivots" sheetId="6" r:id="rId3"/>
    <sheet name="Dashboard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" l="1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6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K75" i="3"/>
  <c r="L75" i="3" s="1"/>
  <c r="K74" i="3"/>
  <c r="L74" i="3" s="1"/>
  <c r="K73" i="3"/>
  <c r="L73" i="3" s="1"/>
  <c r="K72" i="3"/>
  <c r="L72" i="3" s="1"/>
  <c r="K71" i="3"/>
  <c r="L71" i="3" s="1"/>
  <c r="K70" i="3"/>
  <c r="L70" i="3" s="1"/>
  <c r="K69" i="3"/>
  <c r="L69" i="3" s="1"/>
  <c r="K68" i="3"/>
  <c r="L68" i="3" s="1"/>
  <c r="K67" i="3"/>
  <c r="L67" i="3" s="1"/>
  <c r="K66" i="3"/>
  <c r="L66" i="3" s="1"/>
  <c r="K65" i="3"/>
  <c r="L65" i="3" s="1"/>
  <c r="K64" i="3"/>
  <c r="L64" i="3" s="1"/>
  <c r="K63" i="3"/>
  <c r="L63" i="3" s="1"/>
  <c r="K62" i="3"/>
  <c r="L62" i="3" s="1"/>
  <c r="K61" i="3"/>
  <c r="L61" i="3" s="1"/>
  <c r="K60" i="3"/>
  <c r="L60" i="3" s="1"/>
  <c r="K59" i="3"/>
  <c r="L59" i="3" s="1"/>
  <c r="K58" i="3"/>
  <c r="L58" i="3" s="1"/>
  <c r="K57" i="3"/>
  <c r="L57" i="3" s="1"/>
  <c r="K56" i="3"/>
  <c r="L56" i="3" s="1"/>
  <c r="K55" i="3"/>
  <c r="L55" i="3" s="1"/>
  <c r="K54" i="3"/>
  <c r="L54" i="3" s="1"/>
  <c r="K53" i="3"/>
  <c r="L53" i="3" s="1"/>
  <c r="K52" i="3"/>
  <c r="L52" i="3" s="1"/>
  <c r="K51" i="3"/>
  <c r="L51" i="3" s="1"/>
  <c r="K50" i="3"/>
  <c r="L50" i="3" s="1"/>
  <c r="K49" i="3"/>
  <c r="L49" i="3" s="1"/>
  <c r="K48" i="3"/>
  <c r="L48" i="3" s="1"/>
  <c r="K47" i="3"/>
  <c r="L47" i="3" s="1"/>
  <c r="K46" i="3"/>
  <c r="L46" i="3" s="1"/>
  <c r="K45" i="3"/>
  <c r="L45" i="3" s="1"/>
  <c r="K44" i="3"/>
  <c r="L44" i="3" s="1"/>
  <c r="K43" i="3"/>
  <c r="L43" i="3" s="1"/>
  <c r="K42" i="3"/>
  <c r="L42" i="3" s="1"/>
  <c r="K41" i="3"/>
  <c r="L41" i="3" s="1"/>
  <c r="K40" i="3"/>
  <c r="L40" i="3" s="1"/>
  <c r="K39" i="3"/>
  <c r="L39" i="3" s="1"/>
  <c r="K38" i="3"/>
  <c r="L38" i="3" s="1"/>
  <c r="K37" i="3"/>
  <c r="L37" i="3" s="1"/>
  <c r="K36" i="3"/>
  <c r="L36" i="3" s="1"/>
  <c r="K35" i="3"/>
  <c r="L35" i="3" s="1"/>
  <c r="K34" i="3"/>
  <c r="L34" i="3" s="1"/>
  <c r="K33" i="3"/>
  <c r="L33" i="3" s="1"/>
  <c r="K32" i="3"/>
  <c r="L32" i="3" s="1"/>
  <c r="K31" i="3"/>
  <c r="L31" i="3" s="1"/>
  <c r="K30" i="3"/>
  <c r="L30" i="3" s="1"/>
  <c r="K29" i="3"/>
  <c r="L29" i="3" s="1"/>
  <c r="K28" i="3"/>
  <c r="L28" i="3" s="1"/>
  <c r="K27" i="3"/>
  <c r="L27" i="3" s="1"/>
  <c r="K26" i="3"/>
  <c r="L26" i="3" s="1"/>
  <c r="K25" i="3"/>
  <c r="L25" i="3" s="1"/>
  <c r="K24" i="3"/>
  <c r="L24" i="3" s="1"/>
  <c r="K23" i="3"/>
  <c r="L23" i="3" s="1"/>
  <c r="K22" i="3"/>
  <c r="L22" i="3" s="1"/>
  <c r="K21" i="3"/>
  <c r="L21" i="3" s="1"/>
  <c r="K20" i="3"/>
  <c r="L20" i="3" s="1"/>
  <c r="K19" i="3"/>
  <c r="L19" i="3" s="1"/>
  <c r="K18" i="3"/>
  <c r="L18" i="3" s="1"/>
  <c r="K17" i="3"/>
  <c r="L17" i="3" s="1"/>
  <c r="K16" i="3"/>
  <c r="L16" i="3" s="1"/>
  <c r="K15" i="3"/>
  <c r="L15" i="3" s="1"/>
  <c r="K14" i="3"/>
  <c r="L14" i="3" s="1"/>
  <c r="K13" i="3"/>
  <c r="L13" i="3" s="1"/>
  <c r="K12" i="3"/>
  <c r="L12" i="3" s="1"/>
  <c r="K11" i="3"/>
  <c r="L11" i="3" s="1"/>
  <c r="K10" i="3"/>
  <c r="L10" i="3" s="1"/>
  <c r="K9" i="3"/>
  <c r="L9" i="3" s="1"/>
  <c r="K8" i="3"/>
  <c r="L8" i="3" s="1"/>
  <c r="K7" i="3"/>
  <c r="L7" i="3" s="1"/>
  <c r="K6" i="3"/>
  <c r="L6" i="3" s="1"/>
  <c r="H78" i="5"/>
  <c r="I78" i="5" s="1"/>
  <c r="H77" i="5"/>
  <c r="I77" i="5" s="1"/>
  <c r="H76" i="5"/>
  <c r="I76" i="5" s="1"/>
  <c r="H75" i="5"/>
  <c r="I75" i="5" s="1"/>
  <c r="H74" i="5"/>
  <c r="I74" i="5" s="1"/>
  <c r="H73" i="5"/>
  <c r="I73" i="5" s="1"/>
  <c r="H72" i="5"/>
  <c r="I72" i="5" s="1"/>
  <c r="H71" i="5"/>
  <c r="I71" i="5" s="1"/>
  <c r="H70" i="5"/>
  <c r="I70" i="5" s="1"/>
  <c r="H69" i="5"/>
  <c r="I69" i="5" s="1"/>
  <c r="H68" i="5"/>
  <c r="I68" i="5" s="1"/>
  <c r="H67" i="5"/>
  <c r="I67" i="5" s="1"/>
  <c r="H66" i="5"/>
  <c r="I66" i="5" s="1"/>
  <c r="H65" i="5"/>
  <c r="I65" i="5" s="1"/>
  <c r="H64" i="5"/>
  <c r="I64" i="5" s="1"/>
  <c r="H63" i="5"/>
  <c r="I63" i="5" s="1"/>
  <c r="H62" i="5"/>
  <c r="I62" i="5" s="1"/>
  <c r="H61" i="5"/>
  <c r="I61" i="5" s="1"/>
  <c r="H60" i="5"/>
  <c r="I60" i="5" s="1"/>
  <c r="H59" i="5"/>
  <c r="I59" i="5" s="1"/>
  <c r="H58" i="5"/>
  <c r="I58" i="5" s="1"/>
  <c r="H57" i="5"/>
  <c r="I57" i="5" s="1"/>
  <c r="H56" i="5"/>
  <c r="I56" i="5" s="1"/>
  <c r="H55" i="5"/>
  <c r="I55" i="5" s="1"/>
  <c r="H54" i="5"/>
  <c r="I54" i="5" s="1"/>
  <c r="H53" i="5"/>
  <c r="I53" i="5" s="1"/>
  <c r="H52" i="5"/>
  <c r="I52" i="5" s="1"/>
  <c r="H51" i="5"/>
  <c r="I51" i="5" s="1"/>
  <c r="H50" i="5"/>
  <c r="I50" i="5" s="1"/>
  <c r="H49" i="5"/>
  <c r="I49" i="5" s="1"/>
  <c r="H48" i="5"/>
  <c r="I48" i="5" s="1"/>
  <c r="H47" i="5"/>
  <c r="I47" i="5" s="1"/>
  <c r="H46" i="5"/>
  <c r="I46" i="5" s="1"/>
  <c r="H45" i="5"/>
  <c r="I45" i="5" s="1"/>
  <c r="H44" i="5"/>
  <c r="I44" i="5" s="1"/>
  <c r="H43" i="5"/>
  <c r="I43" i="5" s="1"/>
  <c r="H42" i="5"/>
  <c r="I42" i="5" s="1"/>
  <c r="H41" i="5"/>
  <c r="I41" i="5" s="1"/>
  <c r="H40" i="5"/>
  <c r="I40" i="5" s="1"/>
  <c r="H39" i="5"/>
  <c r="I39" i="5" s="1"/>
  <c r="H38" i="5"/>
  <c r="I38" i="5" s="1"/>
  <c r="H37" i="5"/>
  <c r="I37" i="5" s="1"/>
  <c r="H36" i="5"/>
  <c r="I36" i="5" s="1"/>
  <c r="H35" i="5"/>
  <c r="I35" i="5" s="1"/>
  <c r="H34" i="5"/>
  <c r="I34" i="5" s="1"/>
  <c r="H33" i="5"/>
  <c r="I33" i="5" s="1"/>
  <c r="H32" i="5"/>
  <c r="I32" i="5" s="1"/>
  <c r="H31" i="5"/>
  <c r="I31" i="5" s="1"/>
  <c r="H30" i="5"/>
  <c r="I30" i="5" s="1"/>
  <c r="H29" i="5"/>
  <c r="I29" i="5" s="1"/>
  <c r="H28" i="5"/>
  <c r="I28" i="5" s="1"/>
  <c r="H27" i="5"/>
  <c r="I27" i="5" s="1"/>
  <c r="H26" i="5"/>
  <c r="I26" i="5" s="1"/>
  <c r="H25" i="5"/>
  <c r="I25" i="5" s="1"/>
  <c r="H24" i="5"/>
  <c r="I24" i="5" s="1"/>
  <c r="H23" i="5"/>
  <c r="I23" i="5" s="1"/>
  <c r="H22" i="5"/>
  <c r="I22" i="5" s="1"/>
  <c r="H21" i="5"/>
  <c r="I21" i="5" s="1"/>
  <c r="H20" i="5"/>
  <c r="I20" i="5" s="1"/>
  <c r="H19" i="5"/>
  <c r="I19" i="5" s="1"/>
  <c r="H18" i="5"/>
  <c r="I18" i="5" s="1"/>
  <c r="H17" i="5"/>
  <c r="I17" i="5" s="1"/>
  <c r="H16" i="5"/>
  <c r="I16" i="5" s="1"/>
  <c r="H15" i="5"/>
  <c r="I15" i="5" s="1"/>
  <c r="H14" i="5"/>
  <c r="I14" i="5" s="1"/>
  <c r="H13" i="5"/>
  <c r="I13" i="5" s="1"/>
  <c r="H12" i="5"/>
  <c r="I12" i="5" s="1"/>
  <c r="H11" i="5"/>
  <c r="I11" i="5" s="1"/>
  <c r="H10" i="5"/>
  <c r="I10" i="5" s="1"/>
  <c r="H9" i="5"/>
  <c r="I9" i="5" s="1"/>
</calcChain>
</file>

<file path=xl/sharedStrings.xml><?xml version="1.0" encoding="utf-8"?>
<sst xmlns="http://schemas.openxmlformats.org/spreadsheetml/2006/main" count="322" uniqueCount="151">
  <si>
    <t>Excel Sample Data</t>
  </si>
  <si>
    <t>Supermarket Sales Data</t>
  </si>
  <si>
    <t>Tax</t>
  </si>
  <si>
    <t>Order No</t>
  </si>
  <si>
    <t>Order Date</t>
  </si>
  <si>
    <t>Customer Name</t>
  </si>
  <si>
    <t>Ship Date</t>
  </si>
  <si>
    <t>Retail Price (USD)</t>
  </si>
  <si>
    <t>Order Quantity</t>
  </si>
  <si>
    <t>Tax (USD)</t>
  </si>
  <si>
    <t>Total (USD)</t>
  </si>
  <si>
    <t>1001</t>
  </si>
  <si>
    <t>John Smith</t>
  </si>
  <si>
    <t>1002</t>
  </si>
  <si>
    <t>Jane Doe</t>
  </si>
  <si>
    <t>1003</t>
  </si>
  <si>
    <t>Michael Johnson</t>
  </si>
  <si>
    <t>1004</t>
  </si>
  <si>
    <t>Emily Brown</t>
  </si>
  <si>
    <t>1005</t>
  </si>
  <si>
    <t>David Wilson</t>
  </si>
  <si>
    <t>1006</t>
  </si>
  <si>
    <t>Lisa Taylor</t>
  </si>
  <si>
    <t>1007</t>
  </si>
  <si>
    <t>Daniel Martinez</t>
  </si>
  <si>
    <t>1008</t>
  </si>
  <si>
    <t>Sarah Anderson</t>
  </si>
  <si>
    <t>1009</t>
  </si>
  <si>
    <t>Christopher Thomas</t>
  </si>
  <si>
    <t>1010</t>
  </si>
  <si>
    <t>Kimberly Garcia</t>
  </si>
  <si>
    <t>1011</t>
  </si>
  <si>
    <t>William Hernandez</t>
  </si>
  <si>
    <t>1012</t>
  </si>
  <si>
    <t>Melissa Lopez</t>
  </si>
  <si>
    <t>1013</t>
  </si>
  <si>
    <t>Richard Perez</t>
  </si>
  <si>
    <t>1014</t>
  </si>
  <si>
    <t>Jessica Gonzalez</t>
  </si>
  <si>
    <t>1015</t>
  </si>
  <si>
    <t>Matthew Wilson</t>
  </si>
  <si>
    <t>1016</t>
  </si>
  <si>
    <t>Amanda Martinez</t>
  </si>
  <si>
    <t>1017</t>
  </si>
  <si>
    <t>James Johnson</t>
  </si>
  <si>
    <t>1018</t>
  </si>
  <si>
    <t>Laura Brown</t>
  </si>
  <si>
    <t>1019</t>
  </si>
  <si>
    <t>Daniel Smith</t>
  </si>
  <si>
    <t>1020</t>
  </si>
  <si>
    <t>Jennifer Davis</t>
  </si>
  <si>
    <t>1021</t>
  </si>
  <si>
    <t>Michael Garcia</t>
  </si>
  <si>
    <t>1022</t>
  </si>
  <si>
    <t>Amy Hernandez</t>
  </si>
  <si>
    <t>1023</t>
  </si>
  <si>
    <t>Christopher Rodriguez</t>
  </si>
  <si>
    <t>1024</t>
  </si>
  <si>
    <t>Jessica Martinez</t>
  </si>
  <si>
    <t>1025</t>
  </si>
  <si>
    <t>1026</t>
  </si>
  <si>
    <t>Sarah Smith</t>
  </si>
  <si>
    <t>1027</t>
  </si>
  <si>
    <t>Matthew Johnson</t>
  </si>
  <si>
    <t>1028</t>
  </si>
  <si>
    <t>Emily Davis</t>
  </si>
  <si>
    <t>1029</t>
  </si>
  <si>
    <t>Daniel Wilson</t>
  </si>
  <si>
    <t>1030</t>
  </si>
  <si>
    <t>Jennifer Martinez</t>
  </si>
  <si>
    <t>1031</t>
  </si>
  <si>
    <t>Michael Smith</t>
  </si>
  <si>
    <t>1032</t>
  </si>
  <si>
    <t>Jessica Johnson</t>
  </si>
  <si>
    <t>1033</t>
  </si>
  <si>
    <t>David Brown</t>
  </si>
  <si>
    <t>1034</t>
  </si>
  <si>
    <t>Sarah Garcia</t>
  </si>
  <si>
    <t>1035</t>
  </si>
  <si>
    <t>Matthew Hernandez</t>
  </si>
  <si>
    <t>1036</t>
  </si>
  <si>
    <t>Emily Rodriguez</t>
  </si>
  <si>
    <t>1037</t>
  </si>
  <si>
    <t>Daniel Davis</t>
  </si>
  <si>
    <t>1038</t>
  </si>
  <si>
    <t>Jennifer Smith</t>
  </si>
  <si>
    <t>1039</t>
  </si>
  <si>
    <t>1040</t>
  </si>
  <si>
    <t>1041</t>
  </si>
  <si>
    <t>1042</t>
  </si>
  <si>
    <t>Sarah Johnson</t>
  </si>
  <si>
    <t>1043</t>
  </si>
  <si>
    <t>Matthew Garcia</t>
  </si>
  <si>
    <t>1044</t>
  </si>
  <si>
    <t>1045</t>
  </si>
  <si>
    <t>Daniel Hernandez</t>
  </si>
  <si>
    <t>1046</t>
  </si>
  <si>
    <t>1047</t>
  </si>
  <si>
    <t>Michael Martinez</t>
  </si>
  <si>
    <t>1048</t>
  </si>
  <si>
    <t>Jessica Wilson</t>
  </si>
  <si>
    <t>1049</t>
  </si>
  <si>
    <t>David Rodriguez</t>
  </si>
  <si>
    <t>1050</t>
  </si>
  <si>
    <t>Sarah Gonzalez</t>
  </si>
  <si>
    <t>1051</t>
  </si>
  <si>
    <t>Matthew Smith</t>
  </si>
  <si>
    <t>1052</t>
  </si>
  <si>
    <t>Emily Johnson</t>
  </si>
  <si>
    <t>1053</t>
  </si>
  <si>
    <t>Daniel Brown</t>
  </si>
  <si>
    <t>1054</t>
  </si>
  <si>
    <t>Jennifer Hernandez</t>
  </si>
  <si>
    <t>1055</t>
  </si>
  <si>
    <t>Michael Davis</t>
  </si>
  <si>
    <t>1056</t>
  </si>
  <si>
    <t>Jessica Smith</t>
  </si>
  <si>
    <t>1057</t>
  </si>
  <si>
    <t>David Martinez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</si>
  <si>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</si>
  <si>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</si>
  <si>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</si>
  <si>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</si>
  <si>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</si>
  <si>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</si>
  <si>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</si>
  <si>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</si>
  <si>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</si>
  <si>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</si>
  <si>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</si>
  <si>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</si>
  <si>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</si>
  <si>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Month of Order</t>
  </si>
  <si>
    <t>Month Number</t>
  </si>
  <si>
    <t>Grand Total</t>
  </si>
  <si>
    <t xml:space="preserve"> Jan</t>
  </si>
  <si>
    <t xml:space="preserve"> Feb</t>
  </si>
  <si>
    <t>Lead Time</t>
  </si>
  <si>
    <t>Average of Total (USD)</t>
  </si>
  <si>
    <t>Customer Names</t>
  </si>
  <si>
    <t>Total No of Orders</t>
  </si>
  <si>
    <t>February data is incomplete (only 4 days), so comparisons with January may not reflect actual trends.</t>
  </si>
  <si>
    <t>Customer Retention</t>
  </si>
  <si>
    <t>Pivot 1 — Revenue by Month</t>
  </si>
  <si>
    <t>Pivot 2 — Orders by Month</t>
  </si>
  <si>
    <t>Pivot 3 — Revenue by Customer</t>
  </si>
  <si>
    <t>Pivot 4 — Avg Order Value</t>
  </si>
  <si>
    <t>Pivot 5 — Customer Retention</t>
  </si>
  <si>
    <t>Retail Sales Dashboard</t>
  </si>
  <si>
    <t>Revenue (USD)</t>
  </si>
  <si>
    <t>Number of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</si>
</sst>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$-1009]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u/>
      <sz val="2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  <fill>
      <patternFill patternType="solid">
        <fgColor theme="3" tint="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" vertical="center"/>
    </xf>
    <xf numFmtId="9" fontId="6" fillId="0" borderId="2" xfId="1" applyFont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4" fontId="6" fillId="0" borderId="2" xfId="0" applyNumberFormat="1" applyFont="1" applyBorder="1" applyAlignment="1">
      <alignment vertical="center"/>
    </xf>
    <xf numFmtId="14" fontId="3" fillId="0" borderId="0" xfId="0" applyNumberFormat="1" applyFont="1"/>
    <xf numFmtId="1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" fontId="6" fillId="0" borderId="2" xfId="2" applyNumberFormat="1" applyFont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" fontId="6" fillId="0" borderId="6" xfId="2" applyNumberFormat="1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4" fontId="6" fillId="0" borderId="8" xfId="2" applyNumberFormat="1" applyFont="1" applyBorder="1" applyAlignment="1">
      <alignment vertical="center"/>
    </xf>
    <xf numFmtId="4" fontId="6" fillId="0" borderId="9" xfId="2" applyNumberFormat="1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7" fillId="0" borderId="0" xfId="0" applyFont="1"/>
    <xf numFmtId="0" fontId="8" fillId="0" borderId="0" xfId="0" applyFont="1" applyAlignment="1">
      <alignment horizontal="center"/>
    </xf>
    <xf numFmtId="164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 vertical="center" readingOrder="1"/>
    </xf>
    <xf numFmtId="0" fontId="11" fillId="4" borderId="0" xfId="0" applyFont="1" applyFill="1" applyAlignment="1">
      <alignment horizontal="center"/>
    </xf>
    <xf numFmtId="49" fontId="12" fillId="0" borderId="0" xfId="0" applyNumberFormat="1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15">
    <dxf>
      <font>
        <b/>
        <i val="0"/>
      </font>
      <fill>
        <patternFill>
          <bgColor theme="9" tint="0.59996337778862885"/>
        </patternFill>
      </fill>
      <border>
        <left/>
        <right/>
        <top/>
        <bottom/>
      </border>
    </dxf>
    <dxf>
      <font>
        <b/>
        <i val="0"/>
      </font>
      <fill>
        <patternFill>
          <bgColor theme="9" tint="0.59996337778862885"/>
        </patternFill>
      </fill>
      <border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left style="thin">
          <color rgb="FFD9D9D9"/>
        </left>
        <right style="thin">
          <color rgb="FFD9D9D9"/>
        </right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rgb="FF2727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[Retail_Sales_Analysis_Bilal.xlsx]Pivots!RevenueByMonth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GB" sz="1800" b="1" i="0" u="none" strike="noStrike" kern="1200" cap="all" spc="15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rPr>
              <a:t>Revenue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GB" sz="1800" b="1" i="0" u="none" strike="noStrike" kern="1200" cap="all" spc="150" normalizeH="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Pivots!$C$5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Pivots!$B$6:$B$8</c:f>
              <c:strCache>
                <c:ptCount val="2"/>
                <c:pt idx="0">
                  <c:v> Jan</c:v>
                </c:pt>
                <c:pt idx="1">
                  <c:v> Feb</c:v>
                </c:pt>
              </c:strCache>
            </c:strRef>
          </c:cat>
          <c:val>
            <c:numRef>
              <c:f>Pivots!$C$6:$C$8</c:f>
              <c:numCache>
                <c:formatCode>#,##0.00</c:formatCode>
                <c:ptCount val="2"/>
                <c:pt idx="0">
                  <c:v>9601.3719999999921</c:v>
                </c:pt>
                <c:pt idx="1">
                  <c:v>1253.78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91-4957-9BCB-C017068A2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1724799"/>
        <c:axId val="1086359551"/>
      </c:lineChart>
      <c:catAx>
        <c:axId val="1041724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GB" sz="10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Month Of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GB" sz="1000" b="1" i="0" u="none" strike="noStrike" kern="1200" cap="all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359551"/>
        <c:crosses val="autoZero"/>
        <c:auto val="1"/>
        <c:lblAlgn val="ctr"/>
        <c:lblOffset val="100"/>
        <c:noMultiLvlLbl val="0"/>
      </c:catAx>
      <c:valAx>
        <c:axId val="1086359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GB" sz="10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Revenue By Month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GB" sz="1000" b="1" i="0" u="none" strike="noStrike" kern="1200" cap="all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2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[Retail_Sales_Analysis_Bilal.xlsx]Pivots!OrdersByMonth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Orders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Pivots!$C$14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Pivots!$B$15:$B$17</c:f>
              <c:strCache>
                <c:ptCount val="2"/>
                <c:pt idx="0">
                  <c:v> Jan</c:v>
                </c:pt>
                <c:pt idx="1">
                  <c:v> Feb</c:v>
                </c:pt>
              </c:strCache>
            </c:strRef>
          </c:cat>
          <c:val>
            <c:numRef>
              <c:f>Pivots!$C$15:$C$17</c:f>
              <c:numCache>
                <c:formatCode>General</c:formatCode>
                <c:ptCount val="2"/>
                <c:pt idx="0">
                  <c:v>62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7-4A7F-9909-997F2F142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7588975"/>
        <c:axId val="1037589455"/>
      </c:barChart>
      <c:catAx>
        <c:axId val="1037588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/>
                  <a:t>Month Of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89455"/>
        <c:crosses val="autoZero"/>
        <c:auto val="1"/>
        <c:lblAlgn val="ctr"/>
        <c:lblOffset val="100"/>
        <c:noMultiLvlLbl val="0"/>
      </c:catAx>
      <c:valAx>
        <c:axId val="10375894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/>
                  <a:t>No of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8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[Retail_Sales_Analysis_Bilal.xlsx]Pivots!RevenueByCustomer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GB" sz="18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rPr>
              <a:t>Top 5 Customers by Revenue</a:t>
            </a:r>
          </a:p>
        </c:rich>
      </c:tx>
      <c:layout>
        <c:manualLayout>
          <c:xMode val="edge"/>
          <c:yMode val="edge"/>
          <c:x val="0.21353046845475673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GB" sz="1800" b="1" i="0" u="none" strike="noStrike" kern="1200" cap="all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Pivots!$C$23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Pivots!$B$24:$B$29</c:f>
              <c:strCache>
                <c:ptCount val="5"/>
                <c:pt idx="0">
                  <c:v>Jennifer Davis</c:v>
                </c:pt>
                <c:pt idx="1">
                  <c:v>Michael Johnson</c:v>
                </c:pt>
                <c:pt idx="2">
                  <c:v>David Wilson</c:v>
                </c:pt>
                <c:pt idx="3">
                  <c:v>Jessica Wilson</c:v>
                </c:pt>
                <c:pt idx="4">
                  <c:v>David Rodriguez</c:v>
                </c:pt>
              </c:strCache>
            </c:strRef>
          </c:cat>
          <c:val>
            <c:numRef>
              <c:f>Pivots!$C$24:$C$29</c:f>
              <c:numCache>
                <c:formatCode>#,##0.00</c:formatCode>
                <c:ptCount val="5"/>
                <c:pt idx="0">
                  <c:v>538.91199999999992</c:v>
                </c:pt>
                <c:pt idx="1">
                  <c:v>505.94499999999994</c:v>
                </c:pt>
                <c:pt idx="2">
                  <c:v>472.96699999999998</c:v>
                </c:pt>
                <c:pt idx="3">
                  <c:v>395.96699999999998</c:v>
                </c:pt>
                <c:pt idx="4">
                  <c:v>329.91199999999998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A-4888-A927-B7ED5B112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5966975"/>
        <c:axId val="1045967455"/>
      </c:barChart>
      <c:catAx>
        <c:axId val="10459669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Customer Name</a:t>
                </a:r>
              </a:p>
            </c:rich>
          </c:tx>
          <c:layout>
            <c:manualLayout>
              <c:xMode val="edge"/>
              <c:yMode val="edge"/>
              <c:x val="1.0519395134779751E-2"/>
              <c:y val="0.32928222513852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967455"/>
        <c:crosses val="autoZero"/>
        <c:auto val="1"/>
        <c:lblAlgn val="ctr"/>
        <c:lblOffset val="100"/>
        <c:noMultiLvlLbl val="0"/>
      </c:catAx>
      <c:valAx>
        <c:axId val="1045967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 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966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[Retail_Sales_Analysis_Bilal.xlsx]Pivots!AvgOrderValue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GB" sz="18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rPr>
              <a:t>Average Order Value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GB" sz="1800" b="1" i="0" u="none" strike="noStrike" kern="1200" cap="all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Pivots!$C$35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Pivots!$B$36:$B$38</c:f>
              <c:strCache>
                <c:ptCount val="2"/>
                <c:pt idx="0">
                  <c:v> Jan</c:v>
                </c:pt>
                <c:pt idx="1">
                  <c:v> Feb</c:v>
                </c:pt>
              </c:strCache>
            </c:strRef>
          </c:cat>
          <c:val>
            <c:numRef>
              <c:f>Pivots!$C$36:$C$38</c:f>
              <c:numCache>
                <c:formatCode>#,##0.00</c:formatCode>
                <c:ptCount val="2"/>
                <c:pt idx="0">
                  <c:v>154.8608387096773</c:v>
                </c:pt>
                <c:pt idx="1">
                  <c:v>156.7225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3-4FC5-A867-A6ACCD7E9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9763951"/>
        <c:axId val="1039764911"/>
      </c:barChart>
      <c:catAx>
        <c:axId val="1039763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 Of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764911"/>
        <c:crosses val="autoZero"/>
        <c:auto val="1"/>
        <c:lblAlgn val="ctr"/>
        <c:lblOffset val="100"/>
        <c:noMultiLvlLbl val="0"/>
      </c:catAx>
      <c:valAx>
        <c:axId val="10397649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Avg Revenue 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76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3</xdr:row>
      <xdr:rowOff>190499</xdr:rowOff>
    </xdr:from>
    <xdr:to>
      <xdr:col>21</xdr:col>
      <xdr:colOff>6350</xdr:colOff>
      <xdr:row>18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24AB5A-B485-4017-8F1A-308F1CAB47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79375</xdr:colOff>
      <xdr:row>20</xdr:row>
      <xdr:rowOff>9524</xdr:rowOff>
    </xdr:from>
    <xdr:to>
      <xdr:col>21</xdr:col>
      <xdr:colOff>6350</xdr:colOff>
      <xdr:row>34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C51792-45F6-4F06-A7AB-44237F579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63500</xdr:colOff>
      <xdr:row>35</xdr:row>
      <xdr:rowOff>180975</xdr:rowOff>
    </xdr:from>
    <xdr:to>
      <xdr:col>34</xdr:col>
      <xdr:colOff>79375</xdr:colOff>
      <xdr:row>50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4C3AFD-FA09-46CF-9038-78C576493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6348</xdr:colOff>
      <xdr:row>20</xdr:row>
      <xdr:rowOff>9525</xdr:rowOff>
    </xdr:from>
    <xdr:to>
      <xdr:col>34</xdr:col>
      <xdr:colOff>15875</xdr:colOff>
      <xdr:row>35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9AC026-A42E-470E-A57C-24A85B6B2A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600075</xdr:colOff>
      <xdr:row>4</xdr:row>
      <xdr:rowOff>0</xdr:rowOff>
    </xdr:from>
    <xdr:to>
      <xdr:col>34</xdr:col>
      <xdr:colOff>15875</xdr:colOff>
      <xdr:row>18</xdr:row>
      <xdr:rowOff>174626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5CAB13D-86D7-4FC2-A2F0-57FEB6F475F2}"/>
            </a:ext>
          </a:extLst>
        </xdr:cNvPr>
        <xdr:cNvSpPr txBox="1"/>
      </xdr:nvSpPr>
      <xdr:spPr>
        <a:xfrm>
          <a:off x="15173325" y="1095375"/>
          <a:ext cx="7258050" cy="2841626"/>
        </a:xfrm>
        <a:prstGeom prst="rect">
          <a:avLst/>
        </a:prstGeom>
        <a:solidFill>
          <a:schemeClr val="lt1"/>
        </a:solidFill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Insights</a:t>
          </a:r>
          <a:r>
            <a:rPr lang="en-GB" sz="2000">
              <a:effectLst/>
            </a:rPr>
            <a:t> </a:t>
          </a:r>
        </a:p>
        <a:p>
          <a:endParaRPr lang="en-GB" sz="1400">
            <a:effectLst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800"/>
            <a:t>January dominates sales volume and revenue 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GB" sz="1800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800"/>
            <a:t>February data is incomplete (1st–4th only), limiting comparisons 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GB" sz="1800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800"/>
            <a:t>Revenue is concentrated among a small number of customers 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GB" sz="1800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800"/>
            <a:t>Repeat customers are present across both months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GB" sz="14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lal tariq" refreshedDate="46132.718663657404" createdVersion="8" refreshedVersion="8" minRefreshableVersion="3" recordCount="70" xr:uid="{6377069C-3250-4E5E-A674-D522385EE022}">
  <cacheSource type="worksheet">
    <worksheetSource name="SalesData"/>
  </cacheSource>
  <cacheFields count="13">
    <cacheField name="Order No" numFmtId="0">
      <sharedItems containsSemiMixedTypes="0" containsString="0" containsNumber="1" containsInteger="1" minValue="1001" maxValue="1070"/>
    </cacheField>
    <cacheField name="Order Date" numFmtId="14">
      <sharedItems containsSemiMixedTypes="0" containsNonDate="0" containsDate="1" containsString="0" minDate="2024-01-01T00:00:00" maxDate="2024-02-05T00:00:00" count="35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</sharedItems>
      <fieldGroup par="12"/>
    </cacheField>
    <cacheField name="Month of Order" numFmtId="14">
      <sharedItems count="2">
        <s v=" Jan"/>
        <s v=" Feb"/>
      </sharedItems>
    </cacheField>
    <cacheField name="Month Number" numFmtId="0">
      <sharedItems containsSemiMixedTypes="0" containsString="0" containsNumber="1" containsInteger="1" minValue="1" maxValue="2"/>
    </cacheField>
    <cacheField name="Customer Name" numFmtId="0">
      <sharedItems count="51">
        <s v="John Smith"/>
        <s v="Jane Doe"/>
        <s v="Michael Johnson"/>
        <s v="Emily Brown"/>
        <s v="David Wilson"/>
        <s v="Lisa Taylor"/>
        <s v="Daniel Martinez"/>
        <s v="Sarah Anderson"/>
        <s v="Christopher Thomas"/>
        <s v="Kimberly Garcia"/>
        <s v="William Hernandez"/>
        <s v="Melissa Lopez"/>
        <s v="Richard Perez"/>
        <s v="Jessica Gonzalez"/>
        <s v="Matthew Wilson"/>
        <s v="Amanda Martinez"/>
        <s v="James Johnson"/>
        <s v="Laura Brown"/>
        <s v="Daniel Smith"/>
        <s v="Jennifer Davis"/>
        <s v="Michael Garcia"/>
        <s v="Amy Hernandez"/>
        <s v="Christopher Rodriguez"/>
        <s v="Jessica Martinez"/>
        <s v="Sarah Smith"/>
        <s v="Matthew Johnson"/>
        <s v="Emily Davis"/>
        <s v="Daniel Wilson"/>
        <s v="Jennifer Martinez"/>
        <s v="Michael Smith"/>
        <s v="Jessica Johnson"/>
        <s v="David Brown"/>
        <s v="Sarah Garcia"/>
        <s v="Matthew Hernandez"/>
        <s v="Emily Rodriguez"/>
        <s v="Daniel Davis"/>
        <s v="Jennifer Smith"/>
        <s v="Sarah Johnson"/>
        <s v="Matthew Garcia"/>
        <s v="Daniel Hernandez"/>
        <s v="Michael Martinez"/>
        <s v="Jessica Wilson"/>
        <s v="David Rodriguez"/>
        <s v="Sarah Gonzalez"/>
        <s v="Matthew Smith"/>
        <s v="Emily Johnson"/>
        <s v="Daniel Brown"/>
        <s v="Jennifer Hernandez"/>
        <s v="Michael Davis"/>
        <s v="Jessica Smith"/>
        <s v="David Martinez"/>
      </sharedItems>
    </cacheField>
    <cacheField name="Ship Date" numFmtId="14">
      <sharedItems containsSemiMixedTypes="0" containsNonDate="0" containsDate="1" containsString="0" minDate="2024-01-03T00:00:00" maxDate="2024-02-09T00:00:00"/>
    </cacheField>
    <cacheField name="Lead Time" numFmtId="0">
      <sharedItems containsSemiMixedTypes="0" containsString="0" containsNumber="1" containsInteger="1" minValue="1" maxValue="5"/>
    </cacheField>
    <cacheField name="Retail Price (USD)" numFmtId="4">
      <sharedItems containsSemiMixedTypes="0" containsString="0" containsNumber="1" minValue="19.989999999999998" maxValue="199.99"/>
    </cacheField>
    <cacheField name="Order Quantity" numFmtId="0">
      <sharedItems containsSemiMixedTypes="0" containsString="0" containsNumber="1" containsInteger="1" minValue="1" maxValue="5"/>
    </cacheField>
    <cacheField name="Tax (USD)" numFmtId="4">
      <sharedItems containsSemiMixedTypes="0" containsString="0" containsNumber="1" minValue="2.9990000000000001" maxValue="29.997"/>
    </cacheField>
    <cacheField name="Total (USD)" numFmtId="4">
      <sharedItems containsSemiMixedTypes="0" containsString="0" containsNumber="1" minValue="32.988999999999997" maxValue="329.96699999999998"/>
    </cacheField>
    <cacheField name="Days (Order Date)" numFmtId="0" databaseField="0">
      <fieldGroup base="1">
        <rangePr groupBy="days" startDate="2024-01-01T00:00:00" endDate="2024-02-05T00:00:00"/>
        <groupItems count="368">
          <s v="&lt;01/01/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5/02/2024"/>
        </groupItems>
      </fieldGroup>
    </cacheField>
    <cacheField name="Months (Order Date)" numFmtId="0" databaseField="0">
      <fieldGroup base="1">
        <rangePr groupBy="months" startDate="2024-01-01T00:00:00" endDate="2024-02-05T00:00:00"/>
        <groupItems count="14">
          <s v="&lt;01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/02/2024"/>
        </groupItems>
      </fieldGroup>
    </cacheField>
  </cacheFields>
  <extLst>
    <ext xmlns:x14="http://schemas.microsoft.com/office/spreadsheetml/2009/9/main" uri="{725AE2AE-9491-48be-B2B4-4EB974FC3084}">
      <x14:pivotCacheDefinition pivotCacheId="16351930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n v="1001"/>
    <x v="0"/>
    <x v="0"/>
    <n v="1"/>
    <x v="0"/>
    <d v="2024-01-03T00:00:00"/>
    <n v="2"/>
    <n v="49.99"/>
    <n v="2"/>
    <n v="9.9980000000000011"/>
    <n v="109.97800000000001"/>
  </r>
  <r>
    <n v="1002"/>
    <x v="0"/>
    <x v="0"/>
    <n v="1"/>
    <x v="1"/>
    <d v="2024-01-04T00:00:00"/>
    <n v="3"/>
    <n v="29.99"/>
    <n v="1"/>
    <n v="2.9990000000000001"/>
    <n v="32.988999999999997"/>
  </r>
  <r>
    <n v="1003"/>
    <x v="1"/>
    <x v="0"/>
    <n v="1"/>
    <x v="2"/>
    <d v="2024-01-07T00:00:00"/>
    <n v="5"/>
    <n v="99.99"/>
    <n v="3"/>
    <n v="29.997"/>
    <n v="329.96699999999998"/>
  </r>
  <r>
    <n v="1004"/>
    <x v="1"/>
    <x v="0"/>
    <n v="1"/>
    <x v="3"/>
    <d v="2024-01-03T00:00:00"/>
    <n v="1"/>
    <n v="19.989999999999998"/>
    <n v="4"/>
    <n v="7.9959999999999996"/>
    <n v="87.955999999999989"/>
  </r>
  <r>
    <n v="1005"/>
    <x v="2"/>
    <x v="0"/>
    <n v="1"/>
    <x v="4"/>
    <d v="2024-01-08T00:00:00"/>
    <n v="5"/>
    <n v="149.99"/>
    <n v="1"/>
    <n v="14.999000000000002"/>
    <n v="164.989"/>
  </r>
  <r>
    <n v="1006"/>
    <x v="2"/>
    <x v="0"/>
    <n v="1"/>
    <x v="5"/>
    <d v="2024-01-06T00:00:00"/>
    <n v="3"/>
    <n v="79.989999999999995"/>
    <n v="2"/>
    <n v="15.997999999999999"/>
    <n v="175.97799999999998"/>
  </r>
  <r>
    <n v="1007"/>
    <x v="3"/>
    <x v="0"/>
    <n v="1"/>
    <x v="6"/>
    <d v="2024-01-06T00:00:00"/>
    <n v="2"/>
    <n v="39.99"/>
    <n v="3"/>
    <n v="11.997"/>
    <n v="131.96699999999998"/>
  </r>
  <r>
    <n v="1008"/>
    <x v="3"/>
    <x v="0"/>
    <n v="1"/>
    <x v="7"/>
    <d v="2024-01-09T00:00:00"/>
    <n v="5"/>
    <n v="69.989999999999995"/>
    <n v="2"/>
    <n v="13.997999999999999"/>
    <n v="153.97799999999998"/>
  </r>
  <r>
    <n v="1009"/>
    <x v="4"/>
    <x v="0"/>
    <n v="1"/>
    <x v="8"/>
    <d v="2024-01-06T00:00:00"/>
    <n v="1"/>
    <n v="89.99"/>
    <n v="1"/>
    <n v="8.9990000000000006"/>
    <n v="98.98899999999999"/>
  </r>
  <r>
    <n v="1010"/>
    <x v="4"/>
    <x v="0"/>
    <n v="1"/>
    <x v="9"/>
    <d v="2024-01-08T00:00:00"/>
    <n v="3"/>
    <n v="199.99"/>
    <n v="1"/>
    <n v="19.999000000000002"/>
    <n v="219.989"/>
  </r>
  <r>
    <n v="1011"/>
    <x v="5"/>
    <x v="0"/>
    <n v="1"/>
    <x v="10"/>
    <d v="2024-01-07T00:00:00"/>
    <n v="1"/>
    <n v="29.99"/>
    <n v="5"/>
    <n v="14.994999999999999"/>
    <n v="164.94499999999999"/>
  </r>
  <r>
    <n v="1012"/>
    <x v="5"/>
    <x v="0"/>
    <n v="1"/>
    <x v="11"/>
    <d v="2024-01-08T00:00:00"/>
    <n v="2"/>
    <n v="79.989999999999995"/>
    <n v="2"/>
    <n v="15.997999999999999"/>
    <n v="175.97799999999998"/>
  </r>
  <r>
    <n v="1013"/>
    <x v="6"/>
    <x v="0"/>
    <n v="1"/>
    <x v="12"/>
    <d v="2024-01-09T00:00:00"/>
    <n v="2"/>
    <n v="49.99"/>
    <n v="3"/>
    <n v="14.997"/>
    <n v="164.96699999999998"/>
  </r>
  <r>
    <n v="1014"/>
    <x v="6"/>
    <x v="0"/>
    <n v="1"/>
    <x v="13"/>
    <d v="2024-01-12T00:00:00"/>
    <n v="5"/>
    <n v="129.99"/>
    <n v="1"/>
    <n v="12.999000000000002"/>
    <n v="142.989"/>
  </r>
  <r>
    <n v="1015"/>
    <x v="7"/>
    <x v="0"/>
    <n v="1"/>
    <x v="14"/>
    <d v="2024-01-13T00:00:00"/>
    <n v="5"/>
    <n v="19.989999999999998"/>
    <n v="4"/>
    <n v="7.9959999999999996"/>
    <n v="87.955999999999989"/>
  </r>
  <r>
    <n v="1016"/>
    <x v="7"/>
    <x v="0"/>
    <n v="1"/>
    <x v="15"/>
    <d v="2024-01-12T00:00:00"/>
    <n v="4"/>
    <n v="149.99"/>
    <n v="1"/>
    <n v="14.999000000000002"/>
    <n v="164.989"/>
  </r>
  <r>
    <n v="1017"/>
    <x v="8"/>
    <x v="0"/>
    <n v="1"/>
    <x v="16"/>
    <d v="2024-01-14T00:00:00"/>
    <n v="5"/>
    <n v="69.989999999999995"/>
    <n v="2"/>
    <n v="13.997999999999999"/>
    <n v="153.97799999999998"/>
  </r>
  <r>
    <n v="1018"/>
    <x v="8"/>
    <x v="0"/>
    <n v="1"/>
    <x v="17"/>
    <d v="2024-01-12T00:00:00"/>
    <n v="3"/>
    <n v="39.99"/>
    <n v="3"/>
    <n v="11.997"/>
    <n v="131.96699999999998"/>
  </r>
  <r>
    <n v="1019"/>
    <x v="9"/>
    <x v="0"/>
    <n v="1"/>
    <x v="18"/>
    <d v="2024-01-11T00:00:00"/>
    <n v="1"/>
    <n v="199.99"/>
    <n v="1"/>
    <n v="19.999000000000002"/>
    <n v="219.989"/>
  </r>
  <r>
    <n v="1020"/>
    <x v="9"/>
    <x v="0"/>
    <n v="1"/>
    <x v="19"/>
    <d v="2024-01-14T00:00:00"/>
    <n v="4"/>
    <n v="29.99"/>
    <n v="5"/>
    <n v="14.994999999999999"/>
    <n v="164.94499999999999"/>
  </r>
  <r>
    <n v="1021"/>
    <x v="10"/>
    <x v="0"/>
    <n v="1"/>
    <x v="20"/>
    <d v="2024-01-14T00:00:00"/>
    <n v="3"/>
    <n v="79.989999999999995"/>
    <n v="2"/>
    <n v="15.997999999999999"/>
    <n v="175.97799999999998"/>
  </r>
  <r>
    <n v="1022"/>
    <x v="10"/>
    <x v="0"/>
    <n v="1"/>
    <x v="21"/>
    <d v="2024-01-15T00:00:00"/>
    <n v="4"/>
    <n v="49.99"/>
    <n v="3"/>
    <n v="14.997"/>
    <n v="164.96699999999998"/>
  </r>
  <r>
    <n v="1023"/>
    <x v="11"/>
    <x v="0"/>
    <n v="1"/>
    <x v="22"/>
    <d v="2024-01-17T00:00:00"/>
    <n v="5"/>
    <n v="129.99"/>
    <n v="1"/>
    <n v="12.999000000000002"/>
    <n v="142.989"/>
  </r>
  <r>
    <n v="1024"/>
    <x v="11"/>
    <x v="0"/>
    <n v="1"/>
    <x v="23"/>
    <d v="2024-01-17T00:00:00"/>
    <n v="5"/>
    <n v="19.989999999999998"/>
    <n v="4"/>
    <n v="7.9959999999999996"/>
    <n v="87.955999999999989"/>
  </r>
  <r>
    <n v="1025"/>
    <x v="12"/>
    <x v="0"/>
    <n v="1"/>
    <x v="4"/>
    <d v="2024-01-17T00:00:00"/>
    <n v="4"/>
    <n v="149.99"/>
    <n v="1"/>
    <n v="14.999000000000002"/>
    <n v="164.989"/>
  </r>
  <r>
    <n v="1026"/>
    <x v="12"/>
    <x v="0"/>
    <n v="1"/>
    <x v="24"/>
    <d v="2024-01-14T00:00:00"/>
    <n v="1"/>
    <n v="69.989999999999995"/>
    <n v="2"/>
    <n v="13.997999999999999"/>
    <n v="153.97799999999998"/>
  </r>
  <r>
    <n v="1027"/>
    <x v="13"/>
    <x v="0"/>
    <n v="1"/>
    <x v="25"/>
    <d v="2024-01-18T00:00:00"/>
    <n v="4"/>
    <n v="39.99"/>
    <n v="3"/>
    <n v="11.997"/>
    <n v="131.96699999999998"/>
  </r>
  <r>
    <n v="1028"/>
    <x v="13"/>
    <x v="0"/>
    <n v="1"/>
    <x v="26"/>
    <d v="2024-01-19T00:00:00"/>
    <n v="5"/>
    <n v="199.99"/>
    <n v="1"/>
    <n v="19.999000000000002"/>
    <n v="219.989"/>
  </r>
  <r>
    <n v="1029"/>
    <x v="14"/>
    <x v="0"/>
    <n v="1"/>
    <x v="27"/>
    <d v="2024-01-19T00:00:00"/>
    <n v="4"/>
    <n v="29.99"/>
    <n v="5"/>
    <n v="14.994999999999999"/>
    <n v="164.94499999999999"/>
  </r>
  <r>
    <n v="1030"/>
    <x v="14"/>
    <x v="0"/>
    <n v="1"/>
    <x v="28"/>
    <d v="2024-01-19T00:00:00"/>
    <n v="4"/>
    <n v="79.989999999999995"/>
    <n v="2"/>
    <n v="15.997999999999999"/>
    <n v="175.97799999999998"/>
  </r>
  <r>
    <n v="1031"/>
    <x v="15"/>
    <x v="0"/>
    <n v="1"/>
    <x v="29"/>
    <d v="2024-01-19T00:00:00"/>
    <n v="3"/>
    <n v="49.99"/>
    <n v="3"/>
    <n v="14.997"/>
    <n v="164.96699999999998"/>
  </r>
  <r>
    <n v="1032"/>
    <x v="15"/>
    <x v="0"/>
    <n v="1"/>
    <x v="30"/>
    <d v="2024-01-17T00:00:00"/>
    <n v="1"/>
    <n v="129.99"/>
    <n v="1"/>
    <n v="12.999000000000002"/>
    <n v="142.989"/>
  </r>
  <r>
    <n v="1033"/>
    <x v="16"/>
    <x v="0"/>
    <n v="1"/>
    <x v="31"/>
    <d v="2024-01-19T00:00:00"/>
    <n v="2"/>
    <n v="19.989999999999998"/>
    <n v="4"/>
    <n v="7.9959999999999996"/>
    <n v="87.955999999999989"/>
  </r>
  <r>
    <n v="1034"/>
    <x v="16"/>
    <x v="0"/>
    <n v="1"/>
    <x v="32"/>
    <d v="2024-01-19T00:00:00"/>
    <n v="2"/>
    <n v="149.99"/>
    <n v="1"/>
    <n v="14.999000000000002"/>
    <n v="164.989"/>
  </r>
  <r>
    <n v="1035"/>
    <x v="17"/>
    <x v="0"/>
    <n v="1"/>
    <x v="33"/>
    <d v="2024-01-23T00:00:00"/>
    <n v="5"/>
    <n v="69.989999999999995"/>
    <n v="2"/>
    <n v="13.997999999999999"/>
    <n v="153.97799999999998"/>
  </r>
  <r>
    <n v="1036"/>
    <x v="17"/>
    <x v="0"/>
    <n v="1"/>
    <x v="34"/>
    <d v="2024-01-19T00:00:00"/>
    <n v="1"/>
    <n v="39.99"/>
    <n v="3"/>
    <n v="11.997"/>
    <n v="131.96699999999998"/>
  </r>
  <r>
    <n v="1037"/>
    <x v="18"/>
    <x v="0"/>
    <n v="1"/>
    <x v="35"/>
    <d v="2024-01-20T00:00:00"/>
    <n v="1"/>
    <n v="199.99"/>
    <n v="1"/>
    <n v="19.999000000000002"/>
    <n v="219.989"/>
  </r>
  <r>
    <n v="1038"/>
    <x v="18"/>
    <x v="0"/>
    <n v="1"/>
    <x v="36"/>
    <d v="2024-01-22T00:00:00"/>
    <n v="3"/>
    <n v="29.99"/>
    <n v="5"/>
    <n v="14.994999999999999"/>
    <n v="164.94499999999999"/>
  </r>
  <r>
    <n v="1039"/>
    <x v="19"/>
    <x v="0"/>
    <n v="1"/>
    <x v="2"/>
    <d v="2024-01-24T00:00:00"/>
    <n v="4"/>
    <n v="79.989999999999995"/>
    <n v="2"/>
    <n v="15.997999999999999"/>
    <n v="175.97799999999998"/>
  </r>
  <r>
    <n v="1040"/>
    <x v="19"/>
    <x v="0"/>
    <n v="1"/>
    <x v="23"/>
    <d v="2024-01-21T00:00:00"/>
    <n v="1"/>
    <n v="49.99"/>
    <n v="3"/>
    <n v="14.997"/>
    <n v="164.96699999999998"/>
  </r>
  <r>
    <n v="1041"/>
    <x v="20"/>
    <x v="0"/>
    <n v="1"/>
    <x v="4"/>
    <d v="2024-01-26T00:00:00"/>
    <n v="5"/>
    <n v="129.99"/>
    <n v="1"/>
    <n v="12.999000000000002"/>
    <n v="142.989"/>
  </r>
  <r>
    <n v="1042"/>
    <x v="20"/>
    <x v="0"/>
    <n v="1"/>
    <x v="37"/>
    <d v="2024-01-23T00:00:00"/>
    <n v="2"/>
    <n v="19.989999999999998"/>
    <n v="4"/>
    <n v="7.9959999999999996"/>
    <n v="87.955999999999989"/>
  </r>
  <r>
    <n v="1043"/>
    <x v="21"/>
    <x v="0"/>
    <n v="1"/>
    <x v="38"/>
    <d v="2024-01-25T00:00:00"/>
    <n v="3"/>
    <n v="149.99"/>
    <n v="1"/>
    <n v="14.999000000000002"/>
    <n v="164.989"/>
  </r>
  <r>
    <n v="1044"/>
    <x v="21"/>
    <x v="0"/>
    <n v="1"/>
    <x v="3"/>
    <d v="2024-01-25T00:00:00"/>
    <n v="3"/>
    <n v="69.989999999999995"/>
    <n v="2"/>
    <n v="13.997999999999999"/>
    <n v="153.97799999999998"/>
  </r>
  <r>
    <n v="1045"/>
    <x v="22"/>
    <x v="0"/>
    <n v="1"/>
    <x v="39"/>
    <d v="2024-01-27T00:00:00"/>
    <n v="4"/>
    <n v="39.99"/>
    <n v="3"/>
    <n v="11.997"/>
    <n v="131.96699999999998"/>
  </r>
  <r>
    <n v="1046"/>
    <x v="22"/>
    <x v="0"/>
    <n v="1"/>
    <x v="19"/>
    <d v="2024-01-26T00:00:00"/>
    <n v="3"/>
    <n v="199.99"/>
    <n v="1"/>
    <n v="19.999000000000002"/>
    <n v="219.989"/>
  </r>
  <r>
    <n v="1047"/>
    <x v="23"/>
    <x v="0"/>
    <n v="1"/>
    <x v="40"/>
    <d v="2024-01-25T00:00:00"/>
    <n v="1"/>
    <n v="29.99"/>
    <n v="5"/>
    <n v="14.994999999999999"/>
    <n v="164.94499999999999"/>
  </r>
  <r>
    <n v="1048"/>
    <x v="23"/>
    <x v="0"/>
    <n v="1"/>
    <x v="41"/>
    <d v="2024-01-26T00:00:00"/>
    <n v="2"/>
    <n v="79.989999999999995"/>
    <n v="2"/>
    <n v="15.997999999999999"/>
    <n v="175.97799999999998"/>
  </r>
  <r>
    <n v="1049"/>
    <x v="24"/>
    <x v="0"/>
    <n v="1"/>
    <x v="42"/>
    <d v="2024-01-30T00:00:00"/>
    <n v="5"/>
    <n v="49.99"/>
    <n v="3"/>
    <n v="14.997"/>
    <n v="164.96699999999998"/>
  </r>
  <r>
    <n v="1050"/>
    <x v="24"/>
    <x v="0"/>
    <n v="1"/>
    <x v="43"/>
    <d v="2024-01-27T00:00:00"/>
    <n v="2"/>
    <n v="129.99"/>
    <n v="1"/>
    <n v="12.999000000000002"/>
    <n v="142.989"/>
  </r>
  <r>
    <n v="1051"/>
    <x v="25"/>
    <x v="0"/>
    <n v="1"/>
    <x v="44"/>
    <d v="2024-01-29T00:00:00"/>
    <n v="3"/>
    <n v="19.989999999999998"/>
    <n v="4"/>
    <n v="7.9959999999999996"/>
    <n v="87.955999999999989"/>
  </r>
  <r>
    <n v="1052"/>
    <x v="25"/>
    <x v="0"/>
    <n v="1"/>
    <x v="45"/>
    <d v="2024-01-28T00:00:00"/>
    <n v="2"/>
    <n v="149.99"/>
    <n v="1"/>
    <n v="14.999000000000002"/>
    <n v="164.989"/>
  </r>
  <r>
    <n v="1053"/>
    <x v="26"/>
    <x v="0"/>
    <n v="1"/>
    <x v="46"/>
    <d v="2024-01-31T00:00:00"/>
    <n v="4"/>
    <n v="69.989999999999995"/>
    <n v="2"/>
    <n v="13.997999999999999"/>
    <n v="153.97799999999998"/>
  </r>
  <r>
    <n v="1054"/>
    <x v="26"/>
    <x v="0"/>
    <n v="1"/>
    <x v="47"/>
    <d v="2024-01-31T00:00:00"/>
    <n v="4"/>
    <n v="39.99"/>
    <n v="3"/>
    <n v="11.997"/>
    <n v="131.96699999999998"/>
  </r>
  <r>
    <n v="1055"/>
    <x v="27"/>
    <x v="0"/>
    <n v="1"/>
    <x v="48"/>
    <d v="2024-01-29T00:00:00"/>
    <n v="1"/>
    <n v="199.99"/>
    <n v="1"/>
    <n v="19.999000000000002"/>
    <n v="219.989"/>
  </r>
  <r>
    <n v="1056"/>
    <x v="27"/>
    <x v="0"/>
    <n v="1"/>
    <x v="49"/>
    <d v="2024-01-29T00:00:00"/>
    <n v="1"/>
    <n v="29.99"/>
    <n v="5"/>
    <n v="14.994999999999999"/>
    <n v="164.94499999999999"/>
  </r>
  <r>
    <n v="1057"/>
    <x v="28"/>
    <x v="0"/>
    <n v="1"/>
    <x v="50"/>
    <d v="2024-01-30T00:00:00"/>
    <n v="1"/>
    <n v="79.989999999999995"/>
    <n v="2"/>
    <n v="15.997999999999999"/>
    <n v="175.97799999999998"/>
  </r>
  <r>
    <n v="1058"/>
    <x v="28"/>
    <x v="0"/>
    <n v="1"/>
    <x v="37"/>
    <d v="2024-01-31T00:00:00"/>
    <n v="2"/>
    <n v="49.99"/>
    <n v="3"/>
    <n v="14.997"/>
    <n v="164.96699999999998"/>
  </r>
  <r>
    <n v="1059"/>
    <x v="29"/>
    <x v="0"/>
    <n v="1"/>
    <x v="38"/>
    <d v="2024-01-31T00:00:00"/>
    <n v="1"/>
    <n v="129.99"/>
    <n v="1"/>
    <n v="12.999000000000002"/>
    <n v="142.989"/>
  </r>
  <r>
    <n v="1060"/>
    <x v="29"/>
    <x v="0"/>
    <n v="1"/>
    <x v="3"/>
    <d v="2024-02-01T00:00:00"/>
    <n v="2"/>
    <n v="19.989999999999998"/>
    <n v="4"/>
    <n v="7.9959999999999996"/>
    <n v="87.955999999999989"/>
  </r>
  <r>
    <n v="1061"/>
    <x v="30"/>
    <x v="0"/>
    <n v="1"/>
    <x v="39"/>
    <d v="2024-02-02T00:00:00"/>
    <n v="2"/>
    <n v="149.99"/>
    <n v="1"/>
    <n v="14.999000000000002"/>
    <n v="164.989"/>
  </r>
  <r>
    <n v="1062"/>
    <x v="30"/>
    <x v="0"/>
    <n v="1"/>
    <x v="19"/>
    <d v="2024-02-04T00:00:00"/>
    <n v="4"/>
    <n v="69.989999999999995"/>
    <n v="2"/>
    <n v="13.997999999999999"/>
    <n v="153.97799999999998"/>
  </r>
  <r>
    <n v="1063"/>
    <x v="31"/>
    <x v="1"/>
    <n v="2"/>
    <x v="40"/>
    <d v="2024-02-02T00:00:00"/>
    <n v="1"/>
    <n v="39.99"/>
    <n v="3"/>
    <n v="11.997"/>
    <n v="131.96699999999998"/>
  </r>
  <r>
    <n v="1064"/>
    <x v="31"/>
    <x v="1"/>
    <n v="2"/>
    <x v="41"/>
    <d v="2024-02-05T00:00:00"/>
    <n v="4"/>
    <n v="199.99"/>
    <n v="1"/>
    <n v="19.999000000000002"/>
    <n v="219.989"/>
  </r>
  <r>
    <n v="1065"/>
    <x v="31"/>
    <x v="1"/>
    <n v="2"/>
    <x v="42"/>
    <d v="2024-02-03T00:00:00"/>
    <n v="2"/>
    <n v="29.99"/>
    <n v="5"/>
    <n v="14.994999999999999"/>
    <n v="164.94499999999999"/>
  </r>
  <r>
    <n v="1066"/>
    <x v="32"/>
    <x v="1"/>
    <n v="2"/>
    <x v="43"/>
    <d v="2024-02-06T00:00:00"/>
    <n v="4"/>
    <n v="79.989999999999995"/>
    <n v="2"/>
    <n v="15.997999999999999"/>
    <n v="175.97799999999998"/>
  </r>
  <r>
    <n v="1067"/>
    <x v="33"/>
    <x v="1"/>
    <n v="2"/>
    <x v="44"/>
    <d v="2024-02-06T00:00:00"/>
    <n v="3"/>
    <n v="49.99"/>
    <n v="3"/>
    <n v="14.997"/>
    <n v="164.96699999999998"/>
  </r>
  <r>
    <n v="1068"/>
    <x v="34"/>
    <x v="1"/>
    <n v="2"/>
    <x v="45"/>
    <d v="2024-02-05T00:00:00"/>
    <n v="1"/>
    <n v="129.99"/>
    <n v="1"/>
    <n v="12.999000000000002"/>
    <n v="142.989"/>
  </r>
  <r>
    <n v="1069"/>
    <x v="34"/>
    <x v="1"/>
    <n v="2"/>
    <x v="46"/>
    <d v="2024-02-08T00:00:00"/>
    <n v="4"/>
    <n v="19.989999999999998"/>
    <n v="4"/>
    <n v="7.9959999999999996"/>
    <n v="87.955999999999989"/>
  </r>
  <r>
    <n v="1070"/>
    <x v="34"/>
    <x v="1"/>
    <n v="2"/>
    <x v="47"/>
    <d v="2024-02-07T00:00:00"/>
    <n v="3"/>
    <n v="149.99"/>
    <n v="1"/>
    <n v="14.999000000000002"/>
    <n v="164.9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3DB7D-B786-458A-A177-E127322C9561}" name="AvgOrderValu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Month of Order">
  <location ref="B35:C38" firstHeaderRow="1" firstDataRow="1" firstDataCol="1"/>
  <pivotFields count="13">
    <pivotField showAll="0"/>
    <pivotField numFmtId="14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Row" showAll="0" sortType="descending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numFmtId="4" showAll="0"/>
    <pivotField showAll="0"/>
    <pivotField numFmtId="4" showAll="0"/>
    <pivotField dataField="1" numFmtId="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Total (USD)" fld="10" subtotal="average" baseField="2" baseItem="0" numFmtId="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E519F-AC4A-42C7-AD47-F5C323C5DA7F}" name="RevenueByCustomer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ustomer Name">
  <location ref="B23:C29" firstHeaderRow="1" firstDataRow="1" firstDataCol="1"/>
  <pivotFields count="13">
    <pivotField showAll="0"/>
    <pivotField numFmtId="14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showAll="0"/>
    <pivotField axis="axisRow" showAll="0" measureFilter="1" sortType="descending">
      <items count="52">
        <item x="15"/>
        <item x="21"/>
        <item x="22"/>
        <item x="8"/>
        <item x="46"/>
        <item x="35"/>
        <item x="39"/>
        <item x="6"/>
        <item x="18"/>
        <item x="27"/>
        <item x="31"/>
        <item x="50"/>
        <item x="42"/>
        <item x="4"/>
        <item x="3"/>
        <item x="26"/>
        <item x="45"/>
        <item x="34"/>
        <item x="16"/>
        <item x="1"/>
        <item x="19"/>
        <item x="47"/>
        <item x="28"/>
        <item x="36"/>
        <item x="13"/>
        <item x="30"/>
        <item x="23"/>
        <item x="49"/>
        <item x="41"/>
        <item x="0"/>
        <item x="9"/>
        <item x="17"/>
        <item x="5"/>
        <item x="38"/>
        <item x="33"/>
        <item x="25"/>
        <item x="44"/>
        <item x="14"/>
        <item x="11"/>
        <item x="48"/>
        <item x="20"/>
        <item x="2"/>
        <item x="40"/>
        <item x="29"/>
        <item x="12"/>
        <item x="7"/>
        <item x="32"/>
        <item x="43"/>
        <item x="37"/>
        <item x="2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numFmtId="4" showAll="0"/>
    <pivotField showAll="0"/>
    <pivotField numFmtId="4" showAll="0"/>
    <pivotField dataField="1" numFmtId="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6">
    <i>
      <x v="20"/>
    </i>
    <i>
      <x v="41"/>
    </i>
    <i>
      <x v="13"/>
    </i>
    <i>
      <x v="28"/>
    </i>
    <i>
      <x v="12"/>
    </i>
    <i t="grand">
      <x/>
    </i>
  </rowItems>
  <colItems count="1">
    <i/>
  </colItems>
  <dataFields count="1">
    <dataField name="Revenue (USD)" fld="10" baseField="0" baseItem="0" numFmtId="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4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6AC74-73D4-422B-9FA1-E20E2CAABB17}" name="OrdersByMonth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Month of Order">
  <location ref="B14:C17" firstHeaderRow="1" firstDataRow="1" firstDataCol="1"/>
  <pivotFields count="13">
    <pivotField dataField="1" showAll="0"/>
    <pivotField numFmtId="14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numFmtId="4" showAll="0"/>
    <pivotField showAll="0"/>
    <pivotField numFmtId="4" showAll="0"/>
    <pivotField numFmtId="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Number of Orders" fld="0" subtotal="count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FF2B3-CB05-4F8A-9459-0B6F3746DB1D}" name="RevenueByMonth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 rowHeaderCaption="Month of Order">
  <location ref="B5:C8" firstHeaderRow="1" firstDataRow="1" firstDataCol="1"/>
  <pivotFields count="13">
    <pivotField showAll="0"/>
    <pivotField numFmtId="14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Row" showAll="0" sortType="descending">
      <items count="3">
        <item x="0"/>
        <item x="1"/>
        <item t="default"/>
      </items>
    </pivotField>
    <pivotField showAll="0" sortType="ascending"/>
    <pivotField showAll="0">
      <items count="52">
        <item x="15"/>
        <item x="21"/>
        <item x="22"/>
        <item x="8"/>
        <item x="46"/>
        <item x="35"/>
        <item x="39"/>
        <item x="6"/>
        <item x="18"/>
        <item x="27"/>
        <item x="31"/>
        <item x="50"/>
        <item x="42"/>
        <item x="4"/>
        <item x="3"/>
        <item x="26"/>
        <item x="45"/>
        <item x="34"/>
        <item x="16"/>
        <item x="1"/>
        <item x="19"/>
        <item x="47"/>
        <item x="28"/>
        <item x="36"/>
        <item x="13"/>
        <item x="30"/>
        <item x="23"/>
        <item x="49"/>
        <item x="41"/>
        <item x="0"/>
        <item x="9"/>
        <item x="17"/>
        <item x="5"/>
        <item x="38"/>
        <item x="33"/>
        <item x="25"/>
        <item x="44"/>
        <item x="14"/>
        <item x="11"/>
        <item x="48"/>
        <item x="20"/>
        <item x="2"/>
        <item x="40"/>
        <item x="29"/>
        <item x="12"/>
        <item x="7"/>
        <item x="32"/>
        <item x="43"/>
        <item x="37"/>
        <item x="24"/>
        <item x="10"/>
        <item t="default"/>
      </items>
    </pivotField>
    <pivotField numFmtId="14" showAll="0"/>
    <pivotField showAll="0"/>
    <pivotField numFmtId="4" showAll="0"/>
    <pivotField showAll="0"/>
    <pivotField numFmtId="4" showAll="0"/>
    <pivotField dataField="1" numFmtId="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Revenue (USD)" fld="10" baseField="0" baseItem="0" numFmtId="4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1C67A4-469E-4D7E-83A9-9A84C47C01B6}" name="CustomerRetention" cacheId="0" applyNumberFormats="0" applyBorderFormats="0" applyFontFormats="0" applyPatternFormats="0" applyAlignmentFormats="0" applyWidthHeightFormats="1" dataCaption="Values" grandTotalCaption="Total No of Orders" updatedVersion="8" minRefreshableVersion="3" useAutoFormatting="1" itemPrintTitles="1" createdVersion="8" indent="0" outline="1" outlineData="1" multipleFieldFilters="0" rowHeaderCaption="Customer Names" colHeaderCaption="Month of Order">
  <location ref="F5:I58" firstHeaderRow="1" firstDataRow="2" firstDataCol="1"/>
  <pivotFields count="13">
    <pivotField dataField="1" showAll="0"/>
    <pivotField numFmtId="14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Col" showAll="0" sortType="descending">
      <items count="3">
        <item x="0"/>
        <item x="1"/>
        <item t="default"/>
      </items>
    </pivotField>
    <pivotField showAll="0"/>
    <pivotField axis="axisRow" showAll="0">
      <items count="52">
        <item x="15"/>
        <item x="21"/>
        <item x="22"/>
        <item x="8"/>
        <item x="46"/>
        <item x="35"/>
        <item x="39"/>
        <item x="6"/>
        <item x="18"/>
        <item x="27"/>
        <item x="31"/>
        <item x="50"/>
        <item x="42"/>
        <item x="4"/>
        <item x="3"/>
        <item x="26"/>
        <item x="45"/>
        <item x="34"/>
        <item x="16"/>
        <item x="1"/>
        <item x="19"/>
        <item x="47"/>
        <item x="28"/>
        <item x="36"/>
        <item x="13"/>
        <item x="30"/>
        <item x="23"/>
        <item x="49"/>
        <item x="41"/>
        <item x="0"/>
        <item x="9"/>
        <item x="17"/>
        <item x="5"/>
        <item x="38"/>
        <item x="33"/>
        <item x="25"/>
        <item x="44"/>
        <item x="14"/>
        <item x="11"/>
        <item x="48"/>
        <item x="20"/>
        <item x="2"/>
        <item x="40"/>
        <item x="29"/>
        <item x="12"/>
        <item x="7"/>
        <item x="32"/>
        <item x="43"/>
        <item x="37"/>
        <item x="24"/>
        <item x="10"/>
        <item t="default"/>
      </items>
    </pivotField>
    <pivotField numFmtId="14" showAll="0"/>
    <pivotField showAll="0"/>
    <pivotField numFmtId="4" showAll="0"/>
    <pivotField showAll="0"/>
    <pivotField numFmtId="4" showAll="0"/>
    <pivotField numFmtId="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ustomer Retention" fld="0" subtotal="count" baseField="4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38960E-DA03-4ECD-94B2-B1DB5D654293}" name="SalesData" displayName="SalesData" ref="B5:L75" totalsRowShown="0" headerRowDxfId="14" tableBorderDxfId="13">
  <autoFilter ref="B5:L75" xr:uid="{0338960E-DA03-4ECD-94B2-B1DB5D654293}"/>
  <tableColumns count="11">
    <tableColumn id="1" xr3:uid="{6F332656-65B1-436E-B077-633F71755255}" name="Order No" dataDxfId="12"/>
    <tableColumn id="2" xr3:uid="{2C4FB989-01FC-480A-A0A1-8243671A5751}" name="Order Date" dataDxfId="11"/>
    <tableColumn id="3" xr3:uid="{E83568B7-05D2-4ADF-95E7-9C54B54F1668}" name="Month of Order" dataDxfId="10">
      <calculatedColumnFormula>TEXT(C6," mmm")</calculatedColumnFormula>
    </tableColumn>
    <tableColumn id="4" xr3:uid="{91CA2EF7-9371-496A-8EAA-9B6E9E68D8D6}" name="Month Number" dataDxfId="9">
      <calculatedColumnFormula>MONTH(C6)</calculatedColumnFormula>
    </tableColumn>
    <tableColumn id="5" xr3:uid="{FA8CD58B-95F0-4A70-9ED8-6E0863E4691C}" name="Customer Name" dataDxfId="8"/>
    <tableColumn id="6" xr3:uid="{ED44818D-BD40-4A70-89C7-DD8C43248197}" name="Ship Date" dataDxfId="7"/>
    <tableColumn id="12" xr3:uid="{2723BC76-C7A0-4A22-92A9-CF82D1328744}" name="Lead Time" dataDxfId="6">
      <calculatedColumnFormula>SalesData[[#This Row],[Ship Date]]-SalesData[[#This Row],[Order Date]]</calculatedColumnFormula>
    </tableColumn>
    <tableColumn id="7" xr3:uid="{1D9DBA62-1FCD-449B-A976-F5102C370893}" name="Retail Price (USD)" dataDxfId="5" dataCellStyle="Comma"/>
    <tableColumn id="8" xr3:uid="{C324580B-F538-4FB6-B7D7-9726EA385AA3}" name="Order Quantity" dataDxfId="4"/>
    <tableColumn id="9" xr3:uid="{674002CC-506E-4436-93CF-D136E254D2D0}" name="Tax (USD)" dataDxfId="3" dataCellStyle="Comma">
      <calculatedColumnFormula>I6*J6*$L$3</calculatedColumnFormula>
    </tableColumn>
    <tableColumn id="10" xr3:uid="{DEC91316-7CFD-4554-BA8F-49B02D3C130C}" name="Total (USD)" dataDxfId="2" dataCellStyle="Comma">
      <calculatedColumnFormula>I6*J6+K6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552A-590C-47F5-A8CE-DEDA189CA9B3}">
  <dimension ref="B2:I80"/>
  <sheetViews>
    <sheetView workbookViewId="0">
      <selection activeCell="D33" sqref="D33"/>
    </sheetView>
  </sheetViews>
  <sheetFormatPr defaultColWidth="8.85546875" defaultRowHeight="15" x14ac:dyDescent="0.25"/>
  <cols>
    <col min="1" max="1" width="4.42578125" style="2" customWidth="1"/>
    <col min="2" max="2" width="10.140625" style="2" bestFit="1" customWidth="1"/>
    <col min="3" max="3" width="13.7109375" style="2" customWidth="1"/>
    <col min="4" max="4" width="19.42578125" style="2" customWidth="1"/>
    <col min="5" max="5" width="13.5703125" style="2" customWidth="1"/>
    <col min="6" max="6" width="19.5703125" style="2" customWidth="1"/>
    <col min="7" max="7" width="17.28515625" style="2" customWidth="1"/>
    <col min="8" max="8" width="11" style="2" customWidth="1"/>
    <col min="9" max="9" width="13.28515625" style="2" customWidth="1"/>
    <col min="10" max="16384" width="8.85546875" style="2"/>
  </cols>
  <sheetData>
    <row r="2" spans="2:9" ht="19.5" thickBot="1" x14ac:dyDescent="0.3">
      <c r="B2" s="1" t="s">
        <v>0</v>
      </c>
      <c r="C2" s="1"/>
      <c r="D2" s="1"/>
      <c r="E2" s="1"/>
      <c r="F2" s="1"/>
      <c r="G2" s="1"/>
      <c r="H2" s="1"/>
      <c r="I2" s="1"/>
    </row>
    <row r="4" spans="2:9" ht="19.5" thickBot="1" x14ac:dyDescent="0.3">
      <c r="B4" s="3" t="s">
        <v>1</v>
      </c>
      <c r="C4" s="1"/>
      <c r="D4" s="1"/>
      <c r="E4" s="1"/>
      <c r="F4" s="1"/>
      <c r="G4" s="1"/>
      <c r="H4" s="1"/>
      <c r="I4" s="1"/>
    </row>
    <row r="6" spans="2:9" ht="15.75" x14ac:dyDescent="0.25">
      <c r="H6" s="4" t="s">
        <v>2</v>
      </c>
      <c r="I6" s="5">
        <v>0.1</v>
      </c>
    </row>
    <row r="8" spans="2:9" ht="15.75" x14ac:dyDescent="0.25">
      <c r="B8" s="4" t="s">
        <v>3</v>
      </c>
      <c r="C8" s="4" t="s">
        <v>4</v>
      </c>
      <c r="D8" s="4" t="s">
        <v>5</v>
      </c>
      <c r="E8" s="4" t="s">
        <v>6</v>
      </c>
      <c r="F8" s="4" t="s">
        <v>7</v>
      </c>
      <c r="G8" s="4" t="s">
        <v>8</v>
      </c>
      <c r="H8" s="4" t="s">
        <v>9</v>
      </c>
      <c r="I8" s="6" t="s">
        <v>10</v>
      </c>
    </row>
    <row r="9" spans="2:9" x14ac:dyDescent="0.25">
      <c r="B9" s="7" t="s">
        <v>11</v>
      </c>
      <c r="C9" s="8">
        <v>45292</v>
      </c>
      <c r="D9" s="7" t="s">
        <v>12</v>
      </c>
      <c r="E9" s="8">
        <v>45294</v>
      </c>
      <c r="F9" s="7">
        <v>49.99</v>
      </c>
      <c r="G9" s="7">
        <v>2</v>
      </c>
      <c r="H9" s="7">
        <f>F9*G9*$I$6</f>
        <v>9.9980000000000011</v>
      </c>
      <c r="I9" s="7">
        <f>F9*G9+H9</f>
        <v>109.97800000000001</v>
      </c>
    </row>
    <row r="10" spans="2:9" x14ac:dyDescent="0.25">
      <c r="B10" s="7" t="s">
        <v>13</v>
      </c>
      <c r="C10" s="8">
        <v>45292</v>
      </c>
      <c r="D10" s="7" t="s">
        <v>14</v>
      </c>
      <c r="E10" s="8">
        <v>45295</v>
      </c>
      <c r="F10" s="7">
        <v>29.99</v>
      </c>
      <c r="G10" s="7">
        <v>1</v>
      </c>
      <c r="H10" s="7">
        <f t="shared" ref="H10:H73" si="0">F10*G10*$I$6</f>
        <v>2.9990000000000001</v>
      </c>
      <c r="I10" s="7">
        <f t="shared" ref="I10:I73" si="1">F10*G10+H10</f>
        <v>32.988999999999997</v>
      </c>
    </row>
    <row r="11" spans="2:9" x14ac:dyDescent="0.25">
      <c r="B11" s="7" t="s">
        <v>15</v>
      </c>
      <c r="C11" s="8">
        <v>45293</v>
      </c>
      <c r="D11" s="7" t="s">
        <v>16</v>
      </c>
      <c r="E11" s="8">
        <v>45298</v>
      </c>
      <c r="F11" s="7">
        <v>99.99</v>
      </c>
      <c r="G11" s="7">
        <v>3</v>
      </c>
      <c r="H11" s="7">
        <f t="shared" si="0"/>
        <v>29.997</v>
      </c>
      <c r="I11" s="7">
        <f t="shared" si="1"/>
        <v>329.96699999999998</v>
      </c>
    </row>
    <row r="12" spans="2:9" x14ac:dyDescent="0.25">
      <c r="B12" s="7" t="s">
        <v>17</v>
      </c>
      <c r="C12" s="8">
        <v>45293</v>
      </c>
      <c r="D12" s="7" t="s">
        <v>18</v>
      </c>
      <c r="E12" s="8">
        <v>45294</v>
      </c>
      <c r="F12" s="7">
        <v>19.989999999999998</v>
      </c>
      <c r="G12" s="7">
        <v>4</v>
      </c>
      <c r="H12" s="7">
        <f t="shared" si="0"/>
        <v>7.9959999999999996</v>
      </c>
      <c r="I12" s="7">
        <f t="shared" si="1"/>
        <v>87.955999999999989</v>
      </c>
    </row>
    <row r="13" spans="2:9" x14ac:dyDescent="0.25">
      <c r="B13" s="7" t="s">
        <v>19</v>
      </c>
      <c r="C13" s="8">
        <v>45294</v>
      </c>
      <c r="D13" s="7" t="s">
        <v>20</v>
      </c>
      <c r="E13" s="8">
        <v>45299</v>
      </c>
      <c r="F13" s="7">
        <v>149.99</v>
      </c>
      <c r="G13" s="7">
        <v>1</v>
      </c>
      <c r="H13" s="7">
        <f t="shared" si="0"/>
        <v>14.999000000000002</v>
      </c>
      <c r="I13" s="7">
        <f t="shared" si="1"/>
        <v>164.989</v>
      </c>
    </row>
    <row r="14" spans="2:9" x14ac:dyDescent="0.25">
      <c r="B14" s="7" t="s">
        <v>21</v>
      </c>
      <c r="C14" s="8">
        <v>45294</v>
      </c>
      <c r="D14" s="7" t="s">
        <v>22</v>
      </c>
      <c r="E14" s="8">
        <v>45297</v>
      </c>
      <c r="F14" s="7">
        <v>79.989999999999995</v>
      </c>
      <c r="G14" s="7">
        <v>2</v>
      </c>
      <c r="H14" s="7">
        <f t="shared" si="0"/>
        <v>15.997999999999999</v>
      </c>
      <c r="I14" s="7">
        <f t="shared" si="1"/>
        <v>175.97799999999998</v>
      </c>
    </row>
    <row r="15" spans="2:9" x14ac:dyDescent="0.25">
      <c r="B15" s="7" t="s">
        <v>23</v>
      </c>
      <c r="C15" s="8">
        <v>45295</v>
      </c>
      <c r="D15" s="7" t="s">
        <v>24</v>
      </c>
      <c r="E15" s="8">
        <v>45297</v>
      </c>
      <c r="F15" s="7">
        <v>39.99</v>
      </c>
      <c r="G15" s="7">
        <v>3</v>
      </c>
      <c r="H15" s="7">
        <f t="shared" si="0"/>
        <v>11.997</v>
      </c>
      <c r="I15" s="7">
        <f t="shared" si="1"/>
        <v>131.96699999999998</v>
      </c>
    </row>
    <row r="16" spans="2:9" x14ac:dyDescent="0.25">
      <c r="B16" s="7" t="s">
        <v>25</v>
      </c>
      <c r="C16" s="8">
        <v>45295</v>
      </c>
      <c r="D16" s="7" t="s">
        <v>26</v>
      </c>
      <c r="E16" s="8">
        <v>45300</v>
      </c>
      <c r="F16" s="7">
        <v>69.989999999999995</v>
      </c>
      <c r="G16" s="7">
        <v>2</v>
      </c>
      <c r="H16" s="7">
        <f t="shared" si="0"/>
        <v>13.997999999999999</v>
      </c>
      <c r="I16" s="7">
        <f t="shared" si="1"/>
        <v>153.97799999999998</v>
      </c>
    </row>
    <row r="17" spans="2:9" x14ac:dyDescent="0.25">
      <c r="B17" s="7" t="s">
        <v>27</v>
      </c>
      <c r="C17" s="8">
        <v>45296</v>
      </c>
      <c r="D17" s="7" t="s">
        <v>28</v>
      </c>
      <c r="E17" s="8">
        <v>45297</v>
      </c>
      <c r="F17" s="7">
        <v>89.99</v>
      </c>
      <c r="G17" s="7">
        <v>1</v>
      </c>
      <c r="H17" s="7">
        <f t="shared" si="0"/>
        <v>8.9990000000000006</v>
      </c>
      <c r="I17" s="7">
        <f t="shared" si="1"/>
        <v>98.98899999999999</v>
      </c>
    </row>
    <row r="18" spans="2:9" x14ac:dyDescent="0.25">
      <c r="B18" s="7" t="s">
        <v>29</v>
      </c>
      <c r="C18" s="8">
        <v>45296</v>
      </c>
      <c r="D18" s="7" t="s">
        <v>30</v>
      </c>
      <c r="E18" s="8">
        <v>45299</v>
      </c>
      <c r="F18" s="7">
        <v>199.99</v>
      </c>
      <c r="G18" s="7">
        <v>1</v>
      </c>
      <c r="H18" s="7">
        <f t="shared" si="0"/>
        <v>19.999000000000002</v>
      </c>
      <c r="I18" s="7">
        <f t="shared" si="1"/>
        <v>219.989</v>
      </c>
    </row>
    <row r="19" spans="2:9" x14ac:dyDescent="0.25">
      <c r="B19" s="7" t="s">
        <v>31</v>
      </c>
      <c r="C19" s="8">
        <v>45297</v>
      </c>
      <c r="D19" s="7" t="s">
        <v>32</v>
      </c>
      <c r="E19" s="8">
        <v>45298</v>
      </c>
      <c r="F19" s="7">
        <v>29.99</v>
      </c>
      <c r="G19" s="7">
        <v>5</v>
      </c>
      <c r="H19" s="7">
        <f t="shared" si="0"/>
        <v>14.994999999999999</v>
      </c>
      <c r="I19" s="7">
        <f t="shared" si="1"/>
        <v>164.94499999999999</v>
      </c>
    </row>
    <row r="20" spans="2:9" x14ac:dyDescent="0.25">
      <c r="B20" s="7" t="s">
        <v>33</v>
      </c>
      <c r="C20" s="8">
        <v>45297</v>
      </c>
      <c r="D20" s="7" t="s">
        <v>34</v>
      </c>
      <c r="E20" s="8">
        <v>45299</v>
      </c>
      <c r="F20" s="7">
        <v>79.989999999999995</v>
      </c>
      <c r="G20" s="7">
        <v>2</v>
      </c>
      <c r="H20" s="7">
        <f t="shared" si="0"/>
        <v>15.997999999999999</v>
      </c>
      <c r="I20" s="7">
        <f t="shared" si="1"/>
        <v>175.97799999999998</v>
      </c>
    </row>
    <row r="21" spans="2:9" x14ac:dyDescent="0.25">
      <c r="B21" s="7" t="s">
        <v>35</v>
      </c>
      <c r="C21" s="8">
        <v>45298</v>
      </c>
      <c r="D21" s="7" t="s">
        <v>36</v>
      </c>
      <c r="E21" s="8">
        <v>45300</v>
      </c>
      <c r="F21" s="7">
        <v>49.99</v>
      </c>
      <c r="G21" s="7">
        <v>3</v>
      </c>
      <c r="H21" s="7">
        <f t="shared" si="0"/>
        <v>14.997</v>
      </c>
      <c r="I21" s="7">
        <f t="shared" si="1"/>
        <v>164.96699999999998</v>
      </c>
    </row>
    <row r="22" spans="2:9" x14ac:dyDescent="0.25">
      <c r="B22" s="7" t="s">
        <v>37</v>
      </c>
      <c r="C22" s="8">
        <v>45298</v>
      </c>
      <c r="D22" s="7" t="s">
        <v>38</v>
      </c>
      <c r="E22" s="8">
        <v>45303</v>
      </c>
      <c r="F22" s="7">
        <v>129.99</v>
      </c>
      <c r="G22" s="7">
        <v>1</v>
      </c>
      <c r="H22" s="7">
        <f t="shared" si="0"/>
        <v>12.999000000000002</v>
      </c>
      <c r="I22" s="7">
        <f t="shared" si="1"/>
        <v>142.989</v>
      </c>
    </row>
    <row r="23" spans="2:9" x14ac:dyDescent="0.25">
      <c r="B23" s="7" t="s">
        <v>39</v>
      </c>
      <c r="C23" s="8">
        <v>45299</v>
      </c>
      <c r="D23" s="7" t="s">
        <v>40</v>
      </c>
      <c r="E23" s="8">
        <v>45304</v>
      </c>
      <c r="F23" s="7">
        <v>19.989999999999998</v>
      </c>
      <c r="G23" s="7">
        <v>4</v>
      </c>
      <c r="H23" s="7">
        <f t="shared" si="0"/>
        <v>7.9959999999999996</v>
      </c>
      <c r="I23" s="7">
        <f t="shared" si="1"/>
        <v>87.955999999999989</v>
      </c>
    </row>
    <row r="24" spans="2:9" x14ac:dyDescent="0.25">
      <c r="B24" s="7" t="s">
        <v>41</v>
      </c>
      <c r="C24" s="8">
        <v>45299</v>
      </c>
      <c r="D24" s="7" t="s">
        <v>42</v>
      </c>
      <c r="E24" s="8">
        <v>45303</v>
      </c>
      <c r="F24" s="7">
        <v>149.99</v>
      </c>
      <c r="G24" s="7">
        <v>1</v>
      </c>
      <c r="H24" s="7">
        <f t="shared" si="0"/>
        <v>14.999000000000002</v>
      </c>
      <c r="I24" s="7">
        <f t="shared" si="1"/>
        <v>164.989</v>
      </c>
    </row>
    <row r="25" spans="2:9" x14ac:dyDescent="0.25">
      <c r="B25" s="7" t="s">
        <v>43</v>
      </c>
      <c r="C25" s="8">
        <v>45300</v>
      </c>
      <c r="D25" s="7" t="s">
        <v>44</v>
      </c>
      <c r="E25" s="8">
        <v>45305</v>
      </c>
      <c r="F25" s="7">
        <v>69.989999999999995</v>
      </c>
      <c r="G25" s="7">
        <v>2</v>
      </c>
      <c r="H25" s="7">
        <f t="shared" si="0"/>
        <v>13.997999999999999</v>
      </c>
      <c r="I25" s="7">
        <f t="shared" si="1"/>
        <v>153.97799999999998</v>
      </c>
    </row>
    <row r="26" spans="2:9" x14ac:dyDescent="0.25">
      <c r="B26" s="7" t="s">
        <v>45</v>
      </c>
      <c r="C26" s="8">
        <v>45300</v>
      </c>
      <c r="D26" s="7" t="s">
        <v>46</v>
      </c>
      <c r="E26" s="8">
        <v>45303</v>
      </c>
      <c r="F26" s="7">
        <v>39.99</v>
      </c>
      <c r="G26" s="7">
        <v>3</v>
      </c>
      <c r="H26" s="7">
        <f t="shared" si="0"/>
        <v>11.997</v>
      </c>
      <c r="I26" s="7">
        <f t="shared" si="1"/>
        <v>131.96699999999998</v>
      </c>
    </row>
    <row r="27" spans="2:9" x14ac:dyDescent="0.25">
      <c r="B27" s="7" t="s">
        <v>47</v>
      </c>
      <c r="C27" s="8">
        <v>45301</v>
      </c>
      <c r="D27" s="7" t="s">
        <v>48</v>
      </c>
      <c r="E27" s="8">
        <v>45302</v>
      </c>
      <c r="F27" s="7">
        <v>199.99</v>
      </c>
      <c r="G27" s="7">
        <v>1</v>
      </c>
      <c r="H27" s="7">
        <f t="shared" si="0"/>
        <v>19.999000000000002</v>
      </c>
      <c r="I27" s="7">
        <f t="shared" si="1"/>
        <v>219.989</v>
      </c>
    </row>
    <row r="28" spans="2:9" x14ac:dyDescent="0.25">
      <c r="B28" s="7" t="s">
        <v>49</v>
      </c>
      <c r="C28" s="8">
        <v>45301</v>
      </c>
      <c r="D28" s="7" t="s">
        <v>50</v>
      </c>
      <c r="E28" s="8">
        <v>45305</v>
      </c>
      <c r="F28" s="7">
        <v>29.99</v>
      </c>
      <c r="G28" s="7">
        <v>5</v>
      </c>
      <c r="H28" s="7">
        <f t="shared" si="0"/>
        <v>14.994999999999999</v>
      </c>
      <c r="I28" s="7">
        <f t="shared" si="1"/>
        <v>164.94499999999999</v>
      </c>
    </row>
    <row r="29" spans="2:9" x14ac:dyDescent="0.25">
      <c r="B29" s="7" t="s">
        <v>51</v>
      </c>
      <c r="C29" s="8">
        <v>45302</v>
      </c>
      <c r="D29" s="7" t="s">
        <v>52</v>
      </c>
      <c r="E29" s="8">
        <v>45305</v>
      </c>
      <c r="F29" s="7">
        <v>79.989999999999995</v>
      </c>
      <c r="G29" s="7">
        <v>2</v>
      </c>
      <c r="H29" s="7">
        <f t="shared" si="0"/>
        <v>15.997999999999999</v>
      </c>
      <c r="I29" s="7">
        <f t="shared" si="1"/>
        <v>175.97799999999998</v>
      </c>
    </row>
    <row r="30" spans="2:9" x14ac:dyDescent="0.25">
      <c r="B30" s="7" t="s">
        <v>53</v>
      </c>
      <c r="C30" s="8">
        <v>45302</v>
      </c>
      <c r="D30" s="7" t="s">
        <v>54</v>
      </c>
      <c r="E30" s="8">
        <v>45306</v>
      </c>
      <c r="F30" s="7">
        <v>49.99</v>
      </c>
      <c r="G30" s="7">
        <v>3</v>
      </c>
      <c r="H30" s="7">
        <f t="shared" si="0"/>
        <v>14.997</v>
      </c>
      <c r="I30" s="7">
        <f t="shared" si="1"/>
        <v>164.96699999999998</v>
      </c>
    </row>
    <row r="31" spans="2:9" x14ac:dyDescent="0.25">
      <c r="B31" s="7" t="s">
        <v>55</v>
      </c>
      <c r="C31" s="8">
        <v>45303</v>
      </c>
      <c r="D31" s="7" t="s">
        <v>56</v>
      </c>
      <c r="E31" s="8">
        <v>45308</v>
      </c>
      <c r="F31" s="7">
        <v>129.99</v>
      </c>
      <c r="G31" s="7">
        <v>1</v>
      </c>
      <c r="H31" s="7">
        <f t="shared" si="0"/>
        <v>12.999000000000002</v>
      </c>
      <c r="I31" s="7">
        <f t="shared" si="1"/>
        <v>142.989</v>
      </c>
    </row>
    <row r="32" spans="2:9" x14ac:dyDescent="0.25">
      <c r="B32" s="7" t="s">
        <v>57</v>
      </c>
      <c r="C32" s="8">
        <v>45303</v>
      </c>
      <c r="D32" s="7" t="s">
        <v>58</v>
      </c>
      <c r="E32" s="8">
        <v>45308</v>
      </c>
      <c r="F32" s="7">
        <v>19.989999999999998</v>
      </c>
      <c r="G32" s="7">
        <v>4</v>
      </c>
      <c r="H32" s="7">
        <f t="shared" si="0"/>
        <v>7.9959999999999996</v>
      </c>
      <c r="I32" s="7">
        <f t="shared" si="1"/>
        <v>87.955999999999989</v>
      </c>
    </row>
    <row r="33" spans="2:9" x14ac:dyDescent="0.25">
      <c r="B33" s="7" t="s">
        <v>59</v>
      </c>
      <c r="C33" s="8">
        <v>45304</v>
      </c>
      <c r="D33" s="7" t="s">
        <v>20</v>
      </c>
      <c r="E33" s="8">
        <v>45308</v>
      </c>
      <c r="F33" s="7">
        <v>149.99</v>
      </c>
      <c r="G33" s="7">
        <v>1</v>
      </c>
      <c r="H33" s="7">
        <f t="shared" si="0"/>
        <v>14.999000000000002</v>
      </c>
      <c r="I33" s="7">
        <f t="shared" si="1"/>
        <v>164.989</v>
      </c>
    </row>
    <row r="34" spans="2:9" x14ac:dyDescent="0.25">
      <c r="B34" s="7" t="s">
        <v>60</v>
      </c>
      <c r="C34" s="8">
        <v>45304</v>
      </c>
      <c r="D34" s="7" t="s">
        <v>61</v>
      </c>
      <c r="E34" s="8">
        <v>45305</v>
      </c>
      <c r="F34" s="7">
        <v>69.989999999999995</v>
      </c>
      <c r="G34" s="7">
        <v>2</v>
      </c>
      <c r="H34" s="7">
        <f t="shared" si="0"/>
        <v>13.997999999999999</v>
      </c>
      <c r="I34" s="7">
        <f t="shared" si="1"/>
        <v>153.97799999999998</v>
      </c>
    </row>
    <row r="35" spans="2:9" x14ac:dyDescent="0.25">
      <c r="B35" s="7" t="s">
        <v>62</v>
      </c>
      <c r="C35" s="8">
        <v>45305</v>
      </c>
      <c r="D35" s="7" t="s">
        <v>63</v>
      </c>
      <c r="E35" s="8">
        <v>45309</v>
      </c>
      <c r="F35" s="7">
        <v>39.99</v>
      </c>
      <c r="G35" s="7">
        <v>3</v>
      </c>
      <c r="H35" s="7">
        <f t="shared" si="0"/>
        <v>11.997</v>
      </c>
      <c r="I35" s="7">
        <f t="shared" si="1"/>
        <v>131.96699999999998</v>
      </c>
    </row>
    <row r="36" spans="2:9" x14ac:dyDescent="0.25">
      <c r="B36" s="7" t="s">
        <v>64</v>
      </c>
      <c r="C36" s="8">
        <v>45305</v>
      </c>
      <c r="D36" s="7" t="s">
        <v>65</v>
      </c>
      <c r="E36" s="8">
        <v>45310</v>
      </c>
      <c r="F36" s="7">
        <v>199.99</v>
      </c>
      <c r="G36" s="7">
        <v>1</v>
      </c>
      <c r="H36" s="7">
        <f t="shared" si="0"/>
        <v>19.999000000000002</v>
      </c>
      <c r="I36" s="7">
        <f t="shared" si="1"/>
        <v>219.989</v>
      </c>
    </row>
    <row r="37" spans="2:9" x14ac:dyDescent="0.25">
      <c r="B37" s="7" t="s">
        <v>66</v>
      </c>
      <c r="C37" s="8">
        <v>45306</v>
      </c>
      <c r="D37" s="7" t="s">
        <v>67</v>
      </c>
      <c r="E37" s="8">
        <v>45310</v>
      </c>
      <c r="F37" s="7">
        <v>29.99</v>
      </c>
      <c r="G37" s="7">
        <v>5</v>
      </c>
      <c r="H37" s="7">
        <f t="shared" si="0"/>
        <v>14.994999999999999</v>
      </c>
      <c r="I37" s="7">
        <f t="shared" si="1"/>
        <v>164.94499999999999</v>
      </c>
    </row>
    <row r="38" spans="2:9" x14ac:dyDescent="0.25">
      <c r="B38" s="7" t="s">
        <v>68</v>
      </c>
      <c r="C38" s="8">
        <v>45306</v>
      </c>
      <c r="D38" s="7" t="s">
        <v>69</v>
      </c>
      <c r="E38" s="8">
        <v>45310</v>
      </c>
      <c r="F38" s="7">
        <v>79.989999999999995</v>
      </c>
      <c r="G38" s="7">
        <v>2</v>
      </c>
      <c r="H38" s="7">
        <f t="shared" si="0"/>
        <v>15.997999999999999</v>
      </c>
      <c r="I38" s="7">
        <f t="shared" si="1"/>
        <v>175.97799999999998</v>
      </c>
    </row>
    <row r="39" spans="2:9" x14ac:dyDescent="0.25">
      <c r="B39" s="7" t="s">
        <v>70</v>
      </c>
      <c r="C39" s="8">
        <v>45307</v>
      </c>
      <c r="D39" s="7" t="s">
        <v>71</v>
      </c>
      <c r="E39" s="8">
        <v>45310</v>
      </c>
      <c r="F39" s="7">
        <v>49.99</v>
      </c>
      <c r="G39" s="7">
        <v>3</v>
      </c>
      <c r="H39" s="7">
        <f t="shared" si="0"/>
        <v>14.997</v>
      </c>
      <c r="I39" s="7">
        <f t="shared" si="1"/>
        <v>164.96699999999998</v>
      </c>
    </row>
    <row r="40" spans="2:9" x14ac:dyDescent="0.25">
      <c r="B40" s="7" t="s">
        <v>72</v>
      </c>
      <c r="C40" s="8">
        <v>45307</v>
      </c>
      <c r="D40" s="7" t="s">
        <v>73</v>
      </c>
      <c r="E40" s="8">
        <v>45308</v>
      </c>
      <c r="F40" s="7">
        <v>129.99</v>
      </c>
      <c r="G40" s="7">
        <v>1</v>
      </c>
      <c r="H40" s="7">
        <f t="shared" si="0"/>
        <v>12.999000000000002</v>
      </c>
      <c r="I40" s="7">
        <f t="shared" si="1"/>
        <v>142.989</v>
      </c>
    </row>
    <row r="41" spans="2:9" x14ac:dyDescent="0.25">
      <c r="B41" s="7" t="s">
        <v>74</v>
      </c>
      <c r="C41" s="8">
        <v>45308</v>
      </c>
      <c r="D41" s="7" t="s">
        <v>75</v>
      </c>
      <c r="E41" s="8">
        <v>45310</v>
      </c>
      <c r="F41" s="7">
        <v>19.989999999999998</v>
      </c>
      <c r="G41" s="7">
        <v>4</v>
      </c>
      <c r="H41" s="7">
        <f t="shared" si="0"/>
        <v>7.9959999999999996</v>
      </c>
      <c r="I41" s="7">
        <f t="shared" si="1"/>
        <v>87.955999999999989</v>
      </c>
    </row>
    <row r="42" spans="2:9" x14ac:dyDescent="0.25">
      <c r="B42" s="7" t="s">
        <v>76</v>
      </c>
      <c r="C42" s="8">
        <v>45308</v>
      </c>
      <c r="D42" s="7" t="s">
        <v>77</v>
      </c>
      <c r="E42" s="8">
        <v>45310</v>
      </c>
      <c r="F42" s="7">
        <v>149.99</v>
      </c>
      <c r="G42" s="7">
        <v>1</v>
      </c>
      <c r="H42" s="7">
        <f t="shared" si="0"/>
        <v>14.999000000000002</v>
      </c>
      <c r="I42" s="7">
        <f t="shared" si="1"/>
        <v>164.989</v>
      </c>
    </row>
    <row r="43" spans="2:9" x14ac:dyDescent="0.25">
      <c r="B43" s="7" t="s">
        <v>78</v>
      </c>
      <c r="C43" s="8">
        <v>45309</v>
      </c>
      <c r="D43" s="7" t="s">
        <v>79</v>
      </c>
      <c r="E43" s="8">
        <v>45314</v>
      </c>
      <c r="F43" s="7">
        <v>69.989999999999995</v>
      </c>
      <c r="G43" s="7">
        <v>2</v>
      </c>
      <c r="H43" s="7">
        <f t="shared" si="0"/>
        <v>13.997999999999999</v>
      </c>
      <c r="I43" s="7">
        <f t="shared" si="1"/>
        <v>153.97799999999998</v>
      </c>
    </row>
    <row r="44" spans="2:9" x14ac:dyDescent="0.25">
      <c r="B44" s="7" t="s">
        <v>80</v>
      </c>
      <c r="C44" s="8">
        <v>45309</v>
      </c>
      <c r="D44" s="7" t="s">
        <v>81</v>
      </c>
      <c r="E44" s="8">
        <v>45310</v>
      </c>
      <c r="F44" s="7">
        <v>39.99</v>
      </c>
      <c r="G44" s="7">
        <v>3</v>
      </c>
      <c r="H44" s="7">
        <f t="shared" si="0"/>
        <v>11.997</v>
      </c>
      <c r="I44" s="7">
        <f t="shared" si="1"/>
        <v>131.96699999999998</v>
      </c>
    </row>
    <row r="45" spans="2:9" x14ac:dyDescent="0.25">
      <c r="B45" s="7" t="s">
        <v>82</v>
      </c>
      <c r="C45" s="8">
        <v>45310</v>
      </c>
      <c r="D45" s="7" t="s">
        <v>83</v>
      </c>
      <c r="E45" s="8">
        <v>45311</v>
      </c>
      <c r="F45" s="7">
        <v>199.99</v>
      </c>
      <c r="G45" s="7">
        <v>1</v>
      </c>
      <c r="H45" s="7">
        <f t="shared" si="0"/>
        <v>19.999000000000002</v>
      </c>
      <c r="I45" s="7">
        <f t="shared" si="1"/>
        <v>219.989</v>
      </c>
    </row>
    <row r="46" spans="2:9" x14ac:dyDescent="0.25">
      <c r="B46" s="7" t="s">
        <v>84</v>
      </c>
      <c r="C46" s="8">
        <v>45310</v>
      </c>
      <c r="D46" s="7" t="s">
        <v>85</v>
      </c>
      <c r="E46" s="8">
        <v>45313</v>
      </c>
      <c r="F46" s="7">
        <v>29.99</v>
      </c>
      <c r="G46" s="7">
        <v>5</v>
      </c>
      <c r="H46" s="7">
        <f t="shared" si="0"/>
        <v>14.994999999999999</v>
      </c>
      <c r="I46" s="7">
        <f t="shared" si="1"/>
        <v>164.94499999999999</v>
      </c>
    </row>
    <row r="47" spans="2:9" x14ac:dyDescent="0.25">
      <c r="B47" s="7" t="s">
        <v>86</v>
      </c>
      <c r="C47" s="8">
        <v>45311</v>
      </c>
      <c r="D47" s="7" t="s">
        <v>16</v>
      </c>
      <c r="E47" s="8">
        <v>45315</v>
      </c>
      <c r="F47" s="7">
        <v>79.989999999999995</v>
      </c>
      <c r="G47" s="7">
        <v>2</v>
      </c>
      <c r="H47" s="7">
        <f t="shared" si="0"/>
        <v>15.997999999999999</v>
      </c>
      <c r="I47" s="7">
        <f t="shared" si="1"/>
        <v>175.97799999999998</v>
      </c>
    </row>
    <row r="48" spans="2:9" x14ac:dyDescent="0.25">
      <c r="B48" s="7" t="s">
        <v>87</v>
      </c>
      <c r="C48" s="8">
        <v>45311</v>
      </c>
      <c r="D48" s="7" t="s">
        <v>58</v>
      </c>
      <c r="E48" s="8">
        <v>45312</v>
      </c>
      <c r="F48" s="7">
        <v>49.99</v>
      </c>
      <c r="G48" s="7">
        <v>3</v>
      </c>
      <c r="H48" s="7">
        <f t="shared" si="0"/>
        <v>14.997</v>
      </c>
      <c r="I48" s="7">
        <f t="shared" si="1"/>
        <v>164.96699999999998</v>
      </c>
    </row>
    <row r="49" spans="2:9" x14ac:dyDescent="0.25">
      <c r="B49" s="7" t="s">
        <v>88</v>
      </c>
      <c r="C49" s="8">
        <v>45312</v>
      </c>
      <c r="D49" s="7" t="s">
        <v>20</v>
      </c>
      <c r="E49" s="8">
        <v>45317</v>
      </c>
      <c r="F49" s="7">
        <v>129.99</v>
      </c>
      <c r="G49" s="7">
        <v>1</v>
      </c>
      <c r="H49" s="7">
        <f t="shared" si="0"/>
        <v>12.999000000000002</v>
      </c>
      <c r="I49" s="7">
        <f t="shared" si="1"/>
        <v>142.989</v>
      </c>
    </row>
    <row r="50" spans="2:9" x14ac:dyDescent="0.25">
      <c r="B50" s="7" t="s">
        <v>89</v>
      </c>
      <c r="C50" s="8">
        <v>45312</v>
      </c>
      <c r="D50" s="7" t="s">
        <v>90</v>
      </c>
      <c r="E50" s="8">
        <v>45314</v>
      </c>
      <c r="F50" s="7">
        <v>19.989999999999998</v>
      </c>
      <c r="G50" s="7">
        <v>4</v>
      </c>
      <c r="H50" s="7">
        <f t="shared" si="0"/>
        <v>7.9959999999999996</v>
      </c>
      <c r="I50" s="7">
        <f t="shared" si="1"/>
        <v>87.955999999999989</v>
      </c>
    </row>
    <row r="51" spans="2:9" x14ac:dyDescent="0.25">
      <c r="B51" s="7" t="s">
        <v>91</v>
      </c>
      <c r="C51" s="8">
        <v>45313</v>
      </c>
      <c r="D51" s="7" t="s">
        <v>92</v>
      </c>
      <c r="E51" s="8">
        <v>45316</v>
      </c>
      <c r="F51" s="7">
        <v>149.99</v>
      </c>
      <c r="G51" s="7">
        <v>1</v>
      </c>
      <c r="H51" s="7">
        <f t="shared" si="0"/>
        <v>14.999000000000002</v>
      </c>
      <c r="I51" s="7">
        <f t="shared" si="1"/>
        <v>164.989</v>
      </c>
    </row>
    <row r="52" spans="2:9" x14ac:dyDescent="0.25">
      <c r="B52" s="7" t="s">
        <v>93</v>
      </c>
      <c r="C52" s="8">
        <v>45313</v>
      </c>
      <c r="D52" s="7" t="s">
        <v>18</v>
      </c>
      <c r="E52" s="8">
        <v>45316</v>
      </c>
      <c r="F52" s="7">
        <v>69.989999999999995</v>
      </c>
      <c r="G52" s="7">
        <v>2</v>
      </c>
      <c r="H52" s="7">
        <f t="shared" si="0"/>
        <v>13.997999999999999</v>
      </c>
      <c r="I52" s="7">
        <f t="shared" si="1"/>
        <v>153.97799999999998</v>
      </c>
    </row>
    <row r="53" spans="2:9" x14ac:dyDescent="0.25">
      <c r="B53" s="7" t="s">
        <v>94</v>
      </c>
      <c r="C53" s="8">
        <v>45314</v>
      </c>
      <c r="D53" s="7" t="s">
        <v>95</v>
      </c>
      <c r="E53" s="8">
        <v>45318</v>
      </c>
      <c r="F53" s="7">
        <v>39.99</v>
      </c>
      <c r="G53" s="7">
        <v>3</v>
      </c>
      <c r="H53" s="7">
        <f t="shared" si="0"/>
        <v>11.997</v>
      </c>
      <c r="I53" s="7">
        <f t="shared" si="1"/>
        <v>131.96699999999998</v>
      </c>
    </row>
    <row r="54" spans="2:9" x14ac:dyDescent="0.25">
      <c r="B54" s="7" t="s">
        <v>96</v>
      </c>
      <c r="C54" s="8">
        <v>45314</v>
      </c>
      <c r="D54" s="7" t="s">
        <v>50</v>
      </c>
      <c r="E54" s="8">
        <v>45317</v>
      </c>
      <c r="F54" s="7">
        <v>199.99</v>
      </c>
      <c r="G54" s="7">
        <v>1</v>
      </c>
      <c r="H54" s="7">
        <f t="shared" si="0"/>
        <v>19.999000000000002</v>
      </c>
      <c r="I54" s="7">
        <f t="shared" si="1"/>
        <v>219.989</v>
      </c>
    </row>
    <row r="55" spans="2:9" x14ac:dyDescent="0.25">
      <c r="B55" s="7" t="s">
        <v>97</v>
      </c>
      <c r="C55" s="8">
        <v>45315</v>
      </c>
      <c r="D55" s="7" t="s">
        <v>98</v>
      </c>
      <c r="E55" s="8">
        <v>45316</v>
      </c>
      <c r="F55" s="7">
        <v>29.99</v>
      </c>
      <c r="G55" s="7">
        <v>5</v>
      </c>
      <c r="H55" s="7">
        <f t="shared" si="0"/>
        <v>14.994999999999999</v>
      </c>
      <c r="I55" s="7">
        <f t="shared" si="1"/>
        <v>164.94499999999999</v>
      </c>
    </row>
    <row r="56" spans="2:9" x14ac:dyDescent="0.25">
      <c r="B56" s="7" t="s">
        <v>99</v>
      </c>
      <c r="C56" s="8">
        <v>45315</v>
      </c>
      <c r="D56" s="7" t="s">
        <v>100</v>
      </c>
      <c r="E56" s="8">
        <v>45317</v>
      </c>
      <c r="F56" s="7">
        <v>79.989999999999995</v>
      </c>
      <c r="G56" s="7">
        <v>2</v>
      </c>
      <c r="H56" s="7">
        <f t="shared" si="0"/>
        <v>15.997999999999999</v>
      </c>
      <c r="I56" s="7">
        <f t="shared" si="1"/>
        <v>175.97799999999998</v>
      </c>
    </row>
    <row r="57" spans="2:9" x14ac:dyDescent="0.25">
      <c r="B57" s="7" t="s">
        <v>101</v>
      </c>
      <c r="C57" s="8">
        <v>45316</v>
      </c>
      <c r="D57" s="7" t="s">
        <v>102</v>
      </c>
      <c r="E57" s="8">
        <v>45321</v>
      </c>
      <c r="F57" s="7">
        <v>49.99</v>
      </c>
      <c r="G57" s="7">
        <v>3</v>
      </c>
      <c r="H57" s="7">
        <f t="shared" si="0"/>
        <v>14.997</v>
      </c>
      <c r="I57" s="7">
        <f t="shared" si="1"/>
        <v>164.96699999999998</v>
      </c>
    </row>
    <row r="58" spans="2:9" x14ac:dyDescent="0.25">
      <c r="B58" s="7" t="s">
        <v>103</v>
      </c>
      <c r="C58" s="8">
        <v>45316</v>
      </c>
      <c r="D58" s="7" t="s">
        <v>104</v>
      </c>
      <c r="E58" s="8">
        <v>45318</v>
      </c>
      <c r="F58" s="7">
        <v>129.99</v>
      </c>
      <c r="G58" s="7">
        <v>1</v>
      </c>
      <c r="H58" s="7">
        <f t="shared" si="0"/>
        <v>12.999000000000002</v>
      </c>
      <c r="I58" s="7">
        <f t="shared" si="1"/>
        <v>142.989</v>
      </c>
    </row>
    <row r="59" spans="2:9" x14ac:dyDescent="0.25">
      <c r="B59" s="7" t="s">
        <v>105</v>
      </c>
      <c r="C59" s="8">
        <v>45317</v>
      </c>
      <c r="D59" s="7" t="s">
        <v>106</v>
      </c>
      <c r="E59" s="8">
        <v>45320</v>
      </c>
      <c r="F59" s="7">
        <v>19.989999999999998</v>
      </c>
      <c r="G59" s="7">
        <v>4</v>
      </c>
      <c r="H59" s="7">
        <f t="shared" si="0"/>
        <v>7.9959999999999996</v>
      </c>
      <c r="I59" s="7">
        <f t="shared" si="1"/>
        <v>87.955999999999989</v>
      </c>
    </row>
    <row r="60" spans="2:9" x14ac:dyDescent="0.25">
      <c r="B60" s="7" t="s">
        <v>107</v>
      </c>
      <c r="C60" s="8">
        <v>45317</v>
      </c>
      <c r="D60" s="7" t="s">
        <v>108</v>
      </c>
      <c r="E60" s="8">
        <v>45319</v>
      </c>
      <c r="F60" s="7">
        <v>149.99</v>
      </c>
      <c r="G60" s="7">
        <v>1</v>
      </c>
      <c r="H60" s="7">
        <f t="shared" si="0"/>
        <v>14.999000000000002</v>
      </c>
      <c r="I60" s="7">
        <f t="shared" si="1"/>
        <v>164.989</v>
      </c>
    </row>
    <row r="61" spans="2:9" x14ac:dyDescent="0.25">
      <c r="B61" s="7" t="s">
        <v>109</v>
      </c>
      <c r="C61" s="8">
        <v>45318</v>
      </c>
      <c r="D61" s="7" t="s">
        <v>110</v>
      </c>
      <c r="E61" s="8">
        <v>45322</v>
      </c>
      <c r="F61" s="7">
        <v>69.989999999999995</v>
      </c>
      <c r="G61" s="7">
        <v>2</v>
      </c>
      <c r="H61" s="7">
        <f t="shared" si="0"/>
        <v>13.997999999999999</v>
      </c>
      <c r="I61" s="7">
        <f t="shared" si="1"/>
        <v>153.97799999999998</v>
      </c>
    </row>
    <row r="62" spans="2:9" x14ac:dyDescent="0.25">
      <c r="B62" s="7" t="s">
        <v>111</v>
      </c>
      <c r="C62" s="8">
        <v>45318</v>
      </c>
      <c r="D62" s="7" t="s">
        <v>112</v>
      </c>
      <c r="E62" s="8">
        <v>45322</v>
      </c>
      <c r="F62" s="7">
        <v>39.99</v>
      </c>
      <c r="G62" s="7">
        <v>3</v>
      </c>
      <c r="H62" s="7">
        <f t="shared" si="0"/>
        <v>11.997</v>
      </c>
      <c r="I62" s="7">
        <f t="shared" si="1"/>
        <v>131.96699999999998</v>
      </c>
    </row>
    <row r="63" spans="2:9" x14ac:dyDescent="0.25">
      <c r="B63" s="7" t="s">
        <v>113</v>
      </c>
      <c r="C63" s="8">
        <v>45319</v>
      </c>
      <c r="D63" s="7" t="s">
        <v>114</v>
      </c>
      <c r="E63" s="8">
        <v>45320</v>
      </c>
      <c r="F63" s="7">
        <v>199.99</v>
      </c>
      <c r="G63" s="7">
        <v>1</v>
      </c>
      <c r="H63" s="7">
        <f t="shared" si="0"/>
        <v>19.999000000000002</v>
      </c>
      <c r="I63" s="7">
        <f t="shared" si="1"/>
        <v>219.989</v>
      </c>
    </row>
    <row r="64" spans="2:9" x14ac:dyDescent="0.25">
      <c r="B64" s="7" t="s">
        <v>115</v>
      </c>
      <c r="C64" s="8">
        <v>45319</v>
      </c>
      <c r="D64" s="7" t="s">
        <v>116</v>
      </c>
      <c r="E64" s="8">
        <v>45320</v>
      </c>
      <c r="F64" s="7">
        <v>29.99</v>
      </c>
      <c r="G64" s="7">
        <v>5</v>
      </c>
      <c r="H64" s="7">
        <f t="shared" si="0"/>
        <v>14.994999999999999</v>
      </c>
      <c r="I64" s="7">
        <f t="shared" si="1"/>
        <v>164.94499999999999</v>
      </c>
    </row>
    <row r="65" spans="2:9" x14ac:dyDescent="0.25">
      <c r="B65" s="7" t="s">
        <v>117</v>
      </c>
      <c r="C65" s="8">
        <v>45320</v>
      </c>
      <c r="D65" s="7" t="s">
        <v>118</v>
      </c>
      <c r="E65" s="8">
        <v>45321</v>
      </c>
      <c r="F65" s="7">
        <v>79.989999999999995</v>
      </c>
      <c r="G65" s="7">
        <v>2</v>
      </c>
      <c r="H65" s="7">
        <f t="shared" si="0"/>
        <v>15.997999999999999</v>
      </c>
      <c r="I65" s="7">
        <f t="shared" si="1"/>
        <v>175.97799999999998</v>
      </c>
    </row>
    <row r="66" spans="2:9" x14ac:dyDescent="0.25">
      <c r="B66" s="7" t="s">
        <v>119</v>
      </c>
      <c r="C66" s="8">
        <v>45320</v>
      </c>
      <c r="D66" s="7" t="s">
        <v>90</v>
      </c>
      <c r="E66" s="8">
        <v>45322</v>
      </c>
      <c r="F66" s="7">
        <v>49.99</v>
      </c>
      <c r="G66" s="7">
        <v>3</v>
      </c>
      <c r="H66" s="7">
        <f t="shared" si="0"/>
        <v>14.997</v>
      </c>
      <c r="I66" s="7">
        <f t="shared" si="1"/>
        <v>164.96699999999998</v>
      </c>
    </row>
    <row r="67" spans="2:9" x14ac:dyDescent="0.25">
      <c r="B67" s="7" t="s">
        <v>120</v>
      </c>
      <c r="C67" s="8">
        <v>45321</v>
      </c>
      <c r="D67" s="7" t="s">
        <v>92</v>
      </c>
      <c r="E67" s="8">
        <v>45322</v>
      </c>
      <c r="F67" s="7">
        <v>129.99</v>
      </c>
      <c r="G67" s="7">
        <v>1</v>
      </c>
      <c r="H67" s="7">
        <f t="shared" si="0"/>
        <v>12.999000000000002</v>
      </c>
      <c r="I67" s="7">
        <f t="shared" si="1"/>
        <v>142.989</v>
      </c>
    </row>
    <row r="68" spans="2:9" x14ac:dyDescent="0.25">
      <c r="B68" s="7" t="s">
        <v>121</v>
      </c>
      <c r="C68" s="8">
        <v>45321</v>
      </c>
      <c r="D68" s="7" t="s">
        <v>18</v>
      </c>
      <c r="E68" s="8">
        <v>45323</v>
      </c>
      <c r="F68" s="7">
        <v>19.989999999999998</v>
      </c>
      <c r="G68" s="7">
        <v>4</v>
      </c>
      <c r="H68" s="7">
        <f t="shared" si="0"/>
        <v>7.9959999999999996</v>
      </c>
      <c r="I68" s="7">
        <f t="shared" si="1"/>
        <v>87.955999999999989</v>
      </c>
    </row>
    <row r="69" spans="2:9" x14ac:dyDescent="0.25">
      <c r="B69" s="7" t="s">
        <v>122</v>
      </c>
      <c r="C69" s="8">
        <v>45322</v>
      </c>
      <c r="D69" s="7" t="s">
        <v>95</v>
      </c>
      <c r="E69" s="8">
        <v>45324</v>
      </c>
      <c r="F69" s="7">
        <v>149.99</v>
      </c>
      <c r="G69" s="7">
        <v>1</v>
      </c>
      <c r="H69" s="7">
        <f t="shared" si="0"/>
        <v>14.999000000000002</v>
      </c>
      <c r="I69" s="7">
        <f t="shared" si="1"/>
        <v>164.989</v>
      </c>
    </row>
    <row r="70" spans="2:9" x14ac:dyDescent="0.25">
      <c r="B70" s="7" t="s">
        <v>123</v>
      </c>
      <c r="C70" s="8">
        <v>45322</v>
      </c>
      <c r="D70" s="7" t="s">
        <v>50</v>
      </c>
      <c r="E70" s="8">
        <v>45326</v>
      </c>
      <c r="F70" s="7">
        <v>69.989999999999995</v>
      </c>
      <c r="G70" s="7">
        <v>2</v>
      </c>
      <c r="H70" s="7">
        <f t="shared" si="0"/>
        <v>13.997999999999999</v>
      </c>
      <c r="I70" s="7">
        <f t="shared" si="1"/>
        <v>153.97799999999998</v>
      </c>
    </row>
    <row r="71" spans="2:9" x14ac:dyDescent="0.25">
      <c r="B71" s="7" t="s">
        <v>124</v>
      </c>
      <c r="C71" s="8">
        <v>45323</v>
      </c>
      <c r="D71" s="7" t="s">
        <v>98</v>
      </c>
      <c r="E71" s="8">
        <v>45324</v>
      </c>
      <c r="F71" s="7">
        <v>39.99</v>
      </c>
      <c r="G71" s="7">
        <v>3</v>
      </c>
      <c r="H71" s="7">
        <f t="shared" si="0"/>
        <v>11.997</v>
      </c>
      <c r="I71" s="7">
        <f t="shared" si="1"/>
        <v>131.96699999999998</v>
      </c>
    </row>
    <row r="72" spans="2:9" x14ac:dyDescent="0.25">
      <c r="B72" s="7" t="s">
        <v>125</v>
      </c>
      <c r="C72" s="8">
        <v>45323</v>
      </c>
      <c r="D72" s="7" t="s">
        <v>100</v>
      </c>
      <c r="E72" s="8">
        <v>45327</v>
      </c>
      <c r="F72" s="7">
        <v>199.99</v>
      </c>
      <c r="G72" s="7">
        <v>1</v>
      </c>
      <c r="H72" s="7">
        <f t="shared" si="0"/>
        <v>19.999000000000002</v>
      </c>
      <c r="I72" s="7">
        <f t="shared" si="1"/>
        <v>219.989</v>
      </c>
    </row>
    <row r="73" spans="2:9" x14ac:dyDescent="0.25">
      <c r="B73" s="7" t="s">
        <v>126</v>
      </c>
      <c r="C73" s="8">
        <v>45323</v>
      </c>
      <c r="D73" s="7" t="s">
        <v>102</v>
      </c>
      <c r="E73" s="8">
        <v>45325</v>
      </c>
      <c r="F73" s="7">
        <v>29.99</v>
      </c>
      <c r="G73" s="7">
        <v>5</v>
      </c>
      <c r="H73" s="7">
        <f t="shared" si="0"/>
        <v>14.994999999999999</v>
      </c>
      <c r="I73" s="7">
        <f t="shared" si="1"/>
        <v>164.94499999999999</v>
      </c>
    </row>
    <row r="74" spans="2:9" x14ac:dyDescent="0.25">
      <c r="B74" s="7" t="s">
        <v>127</v>
      </c>
      <c r="C74" s="8">
        <v>45324</v>
      </c>
      <c r="D74" s="7" t="s">
        <v>104</v>
      </c>
      <c r="E74" s="8">
        <v>45328</v>
      </c>
      <c r="F74" s="7">
        <v>79.989999999999995</v>
      </c>
      <c r="G74" s="7">
        <v>2</v>
      </c>
      <c r="H74" s="7">
        <f t="shared" ref="H74:H78" si="2">F74*G74*$I$6</f>
        <v>15.997999999999999</v>
      </c>
      <c r="I74" s="7">
        <f t="shared" ref="I74:I78" si="3">F74*G74+H74</f>
        <v>175.97799999999998</v>
      </c>
    </row>
    <row r="75" spans="2:9" x14ac:dyDescent="0.25">
      <c r="B75" s="7" t="s">
        <v>128</v>
      </c>
      <c r="C75" s="8">
        <v>45325</v>
      </c>
      <c r="D75" s="7" t="s">
        <v>106</v>
      </c>
      <c r="E75" s="8">
        <v>45328</v>
      </c>
      <c r="F75" s="7">
        <v>49.99</v>
      </c>
      <c r="G75" s="7">
        <v>3</v>
      </c>
      <c r="H75" s="7">
        <f t="shared" si="2"/>
        <v>14.997</v>
      </c>
      <c r="I75" s="7">
        <f t="shared" si="3"/>
        <v>164.96699999999998</v>
      </c>
    </row>
    <row r="76" spans="2:9" x14ac:dyDescent="0.25">
      <c r="B76" s="7" t="s">
        <v>129</v>
      </c>
      <c r="C76" s="8">
        <v>45326</v>
      </c>
      <c r="D76" s="7" t="s">
        <v>108</v>
      </c>
      <c r="E76" s="8">
        <v>45327</v>
      </c>
      <c r="F76" s="7">
        <v>129.99</v>
      </c>
      <c r="G76" s="7">
        <v>1</v>
      </c>
      <c r="H76" s="7">
        <f t="shared" si="2"/>
        <v>12.999000000000002</v>
      </c>
      <c r="I76" s="7">
        <f t="shared" si="3"/>
        <v>142.989</v>
      </c>
    </row>
    <row r="77" spans="2:9" x14ac:dyDescent="0.25">
      <c r="B77" s="7" t="s">
        <v>130</v>
      </c>
      <c r="C77" s="8">
        <v>45326</v>
      </c>
      <c r="D77" s="7" t="s">
        <v>110</v>
      </c>
      <c r="E77" s="8">
        <v>45330</v>
      </c>
      <c r="F77" s="7">
        <v>19.989999999999998</v>
      </c>
      <c r="G77" s="7">
        <v>4</v>
      </c>
      <c r="H77" s="7">
        <f t="shared" si="2"/>
        <v>7.9959999999999996</v>
      </c>
      <c r="I77" s="7">
        <f t="shared" si="3"/>
        <v>87.955999999999989</v>
      </c>
    </row>
    <row r="78" spans="2:9" x14ac:dyDescent="0.25">
      <c r="B78" s="7" t="s">
        <v>131</v>
      </c>
      <c r="C78" s="8">
        <v>45326</v>
      </c>
      <c r="D78" s="7" t="s">
        <v>112</v>
      </c>
      <c r="E78" s="8">
        <v>45329</v>
      </c>
      <c r="F78" s="7">
        <v>149.99</v>
      </c>
      <c r="G78" s="7">
        <v>1</v>
      </c>
      <c r="H78" s="7">
        <f t="shared" si="2"/>
        <v>14.999000000000002</v>
      </c>
      <c r="I78" s="7">
        <f t="shared" si="3"/>
        <v>164.989</v>
      </c>
    </row>
    <row r="79" spans="2:9" x14ac:dyDescent="0.25">
      <c r="C79" s="9"/>
    </row>
    <row r="80" spans="2:9" x14ac:dyDescent="0.25">
      <c r="C8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541A9-D95F-4673-BE35-B114A48AAF3F}">
  <dimension ref="B1:L77"/>
  <sheetViews>
    <sheetView workbookViewId="0">
      <selection activeCell="I11" sqref="I11"/>
    </sheetView>
  </sheetViews>
  <sheetFormatPr defaultColWidth="8.85546875" defaultRowHeight="15" x14ac:dyDescent="0.25"/>
  <cols>
    <col min="1" max="1" width="4.42578125" style="2" customWidth="1"/>
    <col min="2" max="2" width="12.28515625" style="2" customWidth="1"/>
    <col min="3" max="3" width="14" style="2" customWidth="1"/>
    <col min="4" max="4" width="18.7109375" style="2" customWidth="1"/>
    <col min="5" max="5" width="18.42578125" style="2" customWidth="1"/>
    <col min="6" max="6" width="19.42578125" style="2" customWidth="1"/>
    <col min="7" max="7" width="13.5703125" style="2" customWidth="1"/>
    <col min="8" max="8" width="15.42578125" style="2" bestFit="1" customWidth="1"/>
    <col min="9" max="9" width="20.140625" style="2" customWidth="1"/>
    <col min="10" max="10" width="18.140625" style="2" customWidth="1"/>
    <col min="11" max="11" width="12.42578125" style="2" customWidth="1"/>
    <col min="12" max="12" width="14.140625" style="2" customWidth="1"/>
    <col min="13" max="16384" width="8.85546875" style="2"/>
  </cols>
  <sheetData>
    <row r="1" spans="2:12" ht="19.5" thickBot="1" x14ac:dyDescent="0.3"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3" spans="2:12" ht="15.75" x14ac:dyDescent="0.25">
      <c r="K3" s="4" t="s">
        <v>2</v>
      </c>
      <c r="L3" s="5">
        <v>0.1</v>
      </c>
    </row>
    <row r="5" spans="2:12" ht="15.75" x14ac:dyDescent="0.25">
      <c r="B5" s="13" t="s">
        <v>3</v>
      </c>
      <c r="C5" s="4" t="s">
        <v>4</v>
      </c>
      <c r="D5" s="4" t="s">
        <v>132</v>
      </c>
      <c r="E5" s="4" t="s">
        <v>133</v>
      </c>
      <c r="F5" s="4" t="s">
        <v>5</v>
      </c>
      <c r="G5" s="4" t="s">
        <v>6</v>
      </c>
      <c r="H5" s="4" t="s">
        <v>137</v>
      </c>
      <c r="I5" s="4" t="s">
        <v>7</v>
      </c>
      <c r="J5" s="4" t="s">
        <v>8</v>
      </c>
      <c r="K5" s="4" t="s">
        <v>9</v>
      </c>
      <c r="L5" s="15" t="s">
        <v>10</v>
      </c>
    </row>
    <row r="6" spans="2:12" x14ac:dyDescent="0.25">
      <c r="B6" s="14">
        <v>1001</v>
      </c>
      <c r="C6" s="10">
        <v>45292</v>
      </c>
      <c r="D6" s="10" t="str">
        <f>TEXT(C6," mmm")</f>
        <v xml:space="preserve"> Jan</v>
      </c>
      <c r="E6" s="11">
        <f>MONTH(C6)</f>
        <v>1</v>
      </c>
      <c r="F6" s="7" t="s">
        <v>12</v>
      </c>
      <c r="G6" s="10">
        <v>45294</v>
      </c>
      <c r="H6" s="11">
        <f>SalesData[[#This Row],[Ship Date]]-SalesData[[#This Row],[Order Date]]</f>
        <v>2</v>
      </c>
      <c r="I6" s="12">
        <v>49.99</v>
      </c>
      <c r="J6" s="7">
        <v>2</v>
      </c>
      <c r="K6" s="12">
        <f>I6*J6*$L$3</f>
        <v>9.9980000000000011</v>
      </c>
      <c r="L6" s="16">
        <f>I6*J6+K6</f>
        <v>109.97800000000001</v>
      </c>
    </row>
    <row r="7" spans="2:12" x14ac:dyDescent="0.25">
      <c r="B7" s="14">
        <v>1002</v>
      </c>
      <c r="C7" s="10">
        <v>45292</v>
      </c>
      <c r="D7" s="10" t="str">
        <f t="shared" ref="D7:D70" si="0">TEXT(C7," mmm")</f>
        <v xml:space="preserve"> Jan</v>
      </c>
      <c r="E7" s="11">
        <f t="shared" ref="E7:E70" si="1">MONTH(C7)</f>
        <v>1</v>
      </c>
      <c r="F7" s="7" t="s">
        <v>14</v>
      </c>
      <c r="G7" s="10">
        <v>45295</v>
      </c>
      <c r="H7" s="11">
        <f>SalesData[[#This Row],[Ship Date]]-SalesData[[#This Row],[Order Date]]</f>
        <v>3</v>
      </c>
      <c r="I7" s="12">
        <v>29.99</v>
      </c>
      <c r="J7" s="7">
        <v>1</v>
      </c>
      <c r="K7" s="12">
        <f t="shared" ref="K7:K70" si="2">I7*J7*$L$3</f>
        <v>2.9990000000000001</v>
      </c>
      <c r="L7" s="16">
        <f t="shared" ref="L7:L70" si="3">I7*J7+K7</f>
        <v>32.988999999999997</v>
      </c>
    </row>
    <row r="8" spans="2:12" x14ac:dyDescent="0.25">
      <c r="B8" s="14">
        <v>1003</v>
      </c>
      <c r="C8" s="10">
        <v>45293</v>
      </c>
      <c r="D8" s="10" t="str">
        <f t="shared" si="0"/>
        <v xml:space="preserve"> Jan</v>
      </c>
      <c r="E8" s="11">
        <f t="shared" si="1"/>
        <v>1</v>
      </c>
      <c r="F8" s="7" t="s">
        <v>16</v>
      </c>
      <c r="G8" s="10">
        <v>45298</v>
      </c>
      <c r="H8" s="11">
        <f>SalesData[[#This Row],[Ship Date]]-SalesData[[#This Row],[Order Date]]</f>
        <v>5</v>
      </c>
      <c r="I8" s="12">
        <v>99.99</v>
      </c>
      <c r="J8" s="7">
        <v>3</v>
      </c>
      <c r="K8" s="12">
        <f t="shared" si="2"/>
        <v>29.997</v>
      </c>
      <c r="L8" s="16">
        <f t="shared" si="3"/>
        <v>329.96699999999998</v>
      </c>
    </row>
    <row r="9" spans="2:12" x14ac:dyDescent="0.25">
      <c r="B9" s="14">
        <v>1004</v>
      </c>
      <c r="C9" s="10">
        <v>45293</v>
      </c>
      <c r="D9" s="10" t="str">
        <f t="shared" si="0"/>
        <v xml:space="preserve"> Jan</v>
      </c>
      <c r="E9" s="11">
        <f t="shared" si="1"/>
        <v>1</v>
      </c>
      <c r="F9" s="7" t="s">
        <v>18</v>
      </c>
      <c r="G9" s="10">
        <v>45294</v>
      </c>
      <c r="H9" s="11">
        <f>SalesData[[#This Row],[Ship Date]]-SalesData[[#This Row],[Order Date]]</f>
        <v>1</v>
      </c>
      <c r="I9" s="12">
        <v>19.989999999999998</v>
      </c>
      <c r="J9" s="7">
        <v>4</v>
      </c>
      <c r="K9" s="12">
        <f t="shared" si="2"/>
        <v>7.9959999999999996</v>
      </c>
      <c r="L9" s="16">
        <f t="shared" si="3"/>
        <v>87.955999999999989</v>
      </c>
    </row>
    <row r="10" spans="2:12" x14ac:dyDescent="0.25">
      <c r="B10" s="14">
        <v>1005</v>
      </c>
      <c r="C10" s="10">
        <v>45294</v>
      </c>
      <c r="D10" s="10" t="str">
        <f t="shared" si="0"/>
        <v xml:space="preserve"> Jan</v>
      </c>
      <c r="E10" s="11">
        <f t="shared" si="1"/>
        <v>1</v>
      </c>
      <c r="F10" s="7" t="s">
        <v>20</v>
      </c>
      <c r="G10" s="10">
        <v>45299</v>
      </c>
      <c r="H10" s="11">
        <f>SalesData[[#This Row],[Ship Date]]-SalesData[[#This Row],[Order Date]]</f>
        <v>5</v>
      </c>
      <c r="I10" s="12">
        <v>149.99</v>
      </c>
      <c r="J10" s="7">
        <v>1</v>
      </c>
      <c r="K10" s="12">
        <f t="shared" si="2"/>
        <v>14.999000000000002</v>
      </c>
      <c r="L10" s="16">
        <f t="shared" si="3"/>
        <v>164.989</v>
      </c>
    </row>
    <row r="11" spans="2:12" x14ac:dyDescent="0.25">
      <c r="B11" s="14">
        <v>1006</v>
      </c>
      <c r="C11" s="10">
        <v>45294</v>
      </c>
      <c r="D11" s="10" t="str">
        <f t="shared" si="0"/>
        <v xml:space="preserve"> Jan</v>
      </c>
      <c r="E11" s="11">
        <f t="shared" si="1"/>
        <v>1</v>
      </c>
      <c r="F11" s="7" t="s">
        <v>22</v>
      </c>
      <c r="G11" s="10">
        <v>45297</v>
      </c>
      <c r="H11" s="11">
        <f>SalesData[[#This Row],[Ship Date]]-SalesData[[#This Row],[Order Date]]</f>
        <v>3</v>
      </c>
      <c r="I11" s="12">
        <v>79.989999999999995</v>
      </c>
      <c r="J11" s="7">
        <v>2</v>
      </c>
      <c r="K11" s="12">
        <f t="shared" si="2"/>
        <v>15.997999999999999</v>
      </c>
      <c r="L11" s="16">
        <f t="shared" si="3"/>
        <v>175.97799999999998</v>
      </c>
    </row>
    <row r="12" spans="2:12" x14ac:dyDescent="0.25">
      <c r="B12" s="14">
        <v>1007</v>
      </c>
      <c r="C12" s="10">
        <v>45295</v>
      </c>
      <c r="D12" s="10" t="str">
        <f t="shared" si="0"/>
        <v xml:space="preserve"> Jan</v>
      </c>
      <c r="E12" s="11">
        <f t="shared" si="1"/>
        <v>1</v>
      </c>
      <c r="F12" s="7" t="s">
        <v>24</v>
      </c>
      <c r="G12" s="10">
        <v>45297</v>
      </c>
      <c r="H12" s="11">
        <f>SalesData[[#This Row],[Ship Date]]-SalesData[[#This Row],[Order Date]]</f>
        <v>2</v>
      </c>
      <c r="I12" s="12">
        <v>39.99</v>
      </c>
      <c r="J12" s="7">
        <v>3</v>
      </c>
      <c r="K12" s="12">
        <f t="shared" si="2"/>
        <v>11.997</v>
      </c>
      <c r="L12" s="16">
        <f t="shared" si="3"/>
        <v>131.96699999999998</v>
      </c>
    </row>
    <row r="13" spans="2:12" x14ac:dyDescent="0.25">
      <c r="B13" s="14">
        <v>1008</v>
      </c>
      <c r="C13" s="10">
        <v>45295</v>
      </c>
      <c r="D13" s="10" t="str">
        <f t="shared" si="0"/>
        <v xml:space="preserve"> Jan</v>
      </c>
      <c r="E13" s="11">
        <f t="shared" si="1"/>
        <v>1</v>
      </c>
      <c r="F13" s="7" t="s">
        <v>26</v>
      </c>
      <c r="G13" s="10">
        <v>45300</v>
      </c>
      <c r="H13" s="11">
        <f>SalesData[[#This Row],[Ship Date]]-SalesData[[#This Row],[Order Date]]</f>
        <v>5</v>
      </c>
      <c r="I13" s="12">
        <v>69.989999999999995</v>
      </c>
      <c r="J13" s="7">
        <v>2</v>
      </c>
      <c r="K13" s="12">
        <f t="shared" si="2"/>
        <v>13.997999999999999</v>
      </c>
      <c r="L13" s="16">
        <f t="shared" si="3"/>
        <v>153.97799999999998</v>
      </c>
    </row>
    <row r="14" spans="2:12" x14ac:dyDescent="0.25">
      <c r="B14" s="14">
        <v>1009</v>
      </c>
      <c r="C14" s="10">
        <v>45296</v>
      </c>
      <c r="D14" s="10" t="str">
        <f t="shared" si="0"/>
        <v xml:space="preserve"> Jan</v>
      </c>
      <c r="E14" s="11">
        <f t="shared" si="1"/>
        <v>1</v>
      </c>
      <c r="F14" s="7" t="s">
        <v>28</v>
      </c>
      <c r="G14" s="10">
        <v>45297</v>
      </c>
      <c r="H14" s="11">
        <f>SalesData[[#This Row],[Ship Date]]-SalesData[[#This Row],[Order Date]]</f>
        <v>1</v>
      </c>
      <c r="I14" s="12">
        <v>89.99</v>
      </c>
      <c r="J14" s="7">
        <v>1</v>
      </c>
      <c r="K14" s="12">
        <f t="shared" si="2"/>
        <v>8.9990000000000006</v>
      </c>
      <c r="L14" s="16">
        <f t="shared" si="3"/>
        <v>98.98899999999999</v>
      </c>
    </row>
    <row r="15" spans="2:12" x14ac:dyDescent="0.25">
      <c r="B15" s="14">
        <v>1010</v>
      </c>
      <c r="C15" s="10">
        <v>45296</v>
      </c>
      <c r="D15" s="10" t="str">
        <f t="shared" si="0"/>
        <v xml:space="preserve"> Jan</v>
      </c>
      <c r="E15" s="11">
        <f t="shared" si="1"/>
        <v>1</v>
      </c>
      <c r="F15" s="7" t="s">
        <v>30</v>
      </c>
      <c r="G15" s="10">
        <v>45299</v>
      </c>
      <c r="H15" s="11">
        <f>SalesData[[#This Row],[Ship Date]]-SalesData[[#This Row],[Order Date]]</f>
        <v>3</v>
      </c>
      <c r="I15" s="12">
        <v>199.99</v>
      </c>
      <c r="J15" s="7">
        <v>1</v>
      </c>
      <c r="K15" s="12">
        <f t="shared" si="2"/>
        <v>19.999000000000002</v>
      </c>
      <c r="L15" s="16">
        <f t="shared" si="3"/>
        <v>219.989</v>
      </c>
    </row>
    <row r="16" spans="2:12" x14ac:dyDescent="0.25">
      <c r="B16" s="14">
        <v>1011</v>
      </c>
      <c r="C16" s="10">
        <v>45297</v>
      </c>
      <c r="D16" s="10" t="str">
        <f t="shared" si="0"/>
        <v xml:space="preserve"> Jan</v>
      </c>
      <c r="E16" s="11">
        <f t="shared" si="1"/>
        <v>1</v>
      </c>
      <c r="F16" s="7" t="s">
        <v>32</v>
      </c>
      <c r="G16" s="10">
        <v>45298</v>
      </c>
      <c r="H16" s="11">
        <f>SalesData[[#This Row],[Ship Date]]-SalesData[[#This Row],[Order Date]]</f>
        <v>1</v>
      </c>
      <c r="I16" s="12">
        <v>29.99</v>
      </c>
      <c r="J16" s="7">
        <v>5</v>
      </c>
      <c r="K16" s="12">
        <f t="shared" si="2"/>
        <v>14.994999999999999</v>
      </c>
      <c r="L16" s="16">
        <f t="shared" si="3"/>
        <v>164.94499999999999</v>
      </c>
    </row>
    <row r="17" spans="2:12" x14ac:dyDescent="0.25">
      <c r="B17" s="14">
        <v>1012</v>
      </c>
      <c r="C17" s="10">
        <v>45297</v>
      </c>
      <c r="D17" s="10" t="str">
        <f t="shared" si="0"/>
        <v xml:space="preserve"> Jan</v>
      </c>
      <c r="E17" s="11">
        <f t="shared" si="1"/>
        <v>1</v>
      </c>
      <c r="F17" s="7" t="s">
        <v>34</v>
      </c>
      <c r="G17" s="10">
        <v>45299</v>
      </c>
      <c r="H17" s="11">
        <f>SalesData[[#This Row],[Ship Date]]-SalesData[[#This Row],[Order Date]]</f>
        <v>2</v>
      </c>
      <c r="I17" s="12">
        <v>79.989999999999995</v>
      </c>
      <c r="J17" s="7">
        <v>2</v>
      </c>
      <c r="K17" s="12">
        <f t="shared" si="2"/>
        <v>15.997999999999999</v>
      </c>
      <c r="L17" s="16">
        <f t="shared" si="3"/>
        <v>175.97799999999998</v>
      </c>
    </row>
    <row r="18" spans="2:12" x14ac:dyDescent="0.25">
      <c r="B18" s="14">
        <v>1013</v>
      </c>
      <c r="C18" s="10">
        <v>45298</v>
      </c>
      <c r="D18" s="10" t="str">
        <f t="shared" si="0"/>
        <v xml:space="preserve"> Jan</v>
      </c>
      <c r="E18" s="11">
        <f t="shared" si="1"/>
        <v>1</v>
      </c>
      <c r="F18" s="7" t="s">
        <v>36</v>
      </c>
      <c r="G18" s="10">
        <v>45300</v>
      </c>
      <c r="H18" s="11">
        <f>SalesData[[#This Row],[Ship Date]]-SalesData[[#This Row],[Order Date]]</f>
        <v>2</v>
      </c>
      <c r="I18" s="12">
        <v>49.99</v>
      </c>
      <c r="J18" s="7">
        <v>3</v>
      </c>
      <c r="K18" s="12">
        <f t="shared" si="2"/>
        <v>14.997</v>
      </c>
      <c r="L18" s="16">
        <f t="shared" si="3"/>
        <v>164.96699999999998</v>
      </c>
    </row>
    <row r="19" spans="2:12" x14ac:dyDescent="0.25">
      <c r="B19" s="14">
        <v>1014</v>
      </c>
      <c r="C19" s="10">
        <v>45298</v>
      </c>
      <c r="D19" s="10" t="str">
        <f t="shared" si="0"/>
        <v xml:space="preserve"> Jan</v>
      </c>
      <c r="E19" s="11">
        <f t="shared" si="1"/>
        <v>1</v>
      </c>
      <c r="F19" s="7" t="s">
        <v>38</v>
      </c>
      <c r="G19" s="10">
        <v>45303</v>
      </c>
      <c r="H19" s="11">
        <f>SalesData[[#This Row],[Ship Date]]-SalesData[[#This Row],[Order Date]]</f>
        <v>5</v>
      </c>
      <c r="I19" s="12">
        <v>129.99</v>
      </c>
      <c r="J19" s="7">
        <v>1</v>
      </c>
      <c r="K19" s="12">
        <f t="shared" si="2"/>
        <v>12.999000000000002</v>
      </c>
      <c r="L19" s="16">
        <f t="shared" si="3"/>
        <v>142.989</v>
      </c>
    </row>
    <row r="20" spans="2:12" x14ac:dyDescent="0.25">
      <c r="B20" s="14">
        <v>1015</v>
      </c>
      <c r="C20" s="10">
        <v>45299</v>
      </c>
      <c r="D20" s="10" t="str">
        <f t="shared" si="0"/>
        <v xml:space="preserve"> Jan</v>
      </c>
      <c r="E20" s="11">
        <f t="shared" si="1"/>
        <v>1</v>
      </c>
      <c r="F20" s="7" t="s">
        <v>40</v>
      </c>
      <c r="G20" s="10">
        <v>45304</v>
      </c>
      <c r="H20" s="11">
        <f>SalesData[[#This Row],[Ship Date]]-SalesData[[#This Row],[Order Date]]</f>
        <v>5</v>
      </c>
      <c r="I20" s="12">
        <v>19.989999999999998</v>
      </c>
      <c r="J20" s="7">
        <v>4</v>
      </c>
      <c r="K20" s="12">
        <f t="shared" si="2"/>
        <v>7.9959999999999996</v>
      </c>
      <c r="L20" s="16">
        <f t="shared" si="3"/>
        <v>87.955999999999989</v>
      </c>
    </row>
    <row r="21" spans="2:12" x14ac:dyDescent="0.25">
      <c r="B21" s="14">
        <v>1016</v>
      </c>
      <c r="C21" s="10">
        <v>45299</v>
      </c>
      <c r="D21" s="10" t="str">
        <f t="shared" si="0"/>
        <v xml:space="preserve"> Jan</v>
      </c>
      <c r="E21" s="11">
        <f t="shared" si="1"/>
        <v>1</v>
      </c>
      <c r="F21" s="7" t="s">
        <v>42</v>
      </c>
      <c r="G21" s="10">
        <v>45303</v>
      </c>
      <c r="H21" s="11">
        <f>SalesData[[#This Row],[Ship Date]]-SalesData[[#This Row],[Order Date]]</f>
        <v>4</v>
      </c>
      <c r="I21" s="12">
        <v>149.99</v>
      </c>
      <c r="J21" s="7">
        <v>1</v>
      </c>
      <c r="K21" s="12">
        <f t="shared" si="2"/>
        <v>14.999000000000002</v>
      </c>
      <c r="L21" s="16">
        <f t="shared" si="3"/>
        <v>164.989</v>
      </c>
    </row>
    <row r="22" spans="2:12" x14ac:dyDescent="0.25">
      <c r="B22" s="14">
        <v>1017</v>
      </c>
      <c r="C22" s="10">
        <v>45300</v>
      </c>
      <c r="D22" s="10" t="str">
        <f t="shared" si="0"/>
        <v xml:space="preserve"> Jan</v>
      </c>
      <c r="E22" s="11">
        <f t="shared" si="1"/>
        <v>1</v>
      </c>
      <c r="F22" s="7" t="s">
        <v>44</v>
      </c>
      <c r="G22" s="10">
        <v>45305</v>
      </c>
      <c r="H22" s="11">
        <f>SalesData[[#This Row],[Ship Date]]-SalesData[[#This Row],[Order Date]]</f>
        <v>5</v>
      </c>
      <c r="I22" s="12">
        <v>69.989999999999995</v>
      </c>
      <c r="J22" s="7">
        <v>2</v>
      </c>
      <c r="K22" s="12">
        <f t="shared" si="2"/>
        <v>13.997999999999999</v>
      </c>
      <c r="L22" s="16">
        <f t="shared" si="3"/>
        <v>153.97799999999998</v>
      </c>
    </row>
    <row r="23" spans="2:12" x14ac:dyDescent="0.25">
      <c r="B23" s="14">
        <v>1018</v>
      </c>
      <c r="C23" s="10">
        <v>45300</v>
      </c>
      <c r="D23" s="10" t="str">
        <f t="shared" si="0"/>
        <v xml:space="preserve"> Jan</v>
      </c>
      <c r="E23" s="11">
        <f t="shared" si="1"/>
        <v>1</v>
      </c>
      <c r="F23" s="7" t="s">
        <v>46</v>
      </c>
      <c r="G23" s="10">
        <v>45303</v>
      </c>
      <c r="H23" s="11">
        <f>SalesData[[#This Row],[Ship Date]]-SalesData[[#This Row],[Order Date]]</f>
        <v>3</v>
      </c>
      <c r="I23" s="12">
        <v>39.99</v>
      </c>
      <c r="J23" s="7">
        <v>3</v>
      </c>
      <c r="K23" s="12">
        <f t="shared" si="2"/>
        <v>11.997</v>
      </c>
      <c r="L23" s="16">
        <f t="shared" si="3"/>
        <v>131.96699999999998</v>
      </c>
    </row>
    <row r="24" spans="2:12" x14ac:dyDescent="0.25">
      <c r="B24" s="14">
        <v>1019</v>
      </c>
      <c r="C24" s="10">
        <v>45301</v>
      </c>
      <c r="D24" s="10" t="str">
        <f t="shared" si="0"/>
        <v xml:space="preserve"> Jan</v>
      </c>
      <c r="E24" s="11">
        <f t="shared" si="1"/>
        <v>1</v>
      </c>
      <c r="F24" s="7" t="s">
        <v>48</v>
      </c>
      <c r="G24" s="10">
        <v>45302</v>
      </c>
      <c r="H24" s="11">
        <f>SalesData[[#This Row],[Ship Date]]-SalesData[[#This Row],[Order Date]]</f>
        <v>1</v>
      </c>
      <c r="I24" s="12">
        <v>199.99</v>
      </c>
      <c r="J24" s="7">
        <v>1</v>
      </c>
      <c r="K24" s="12">
        <f t="shared" si="2"/>
        <v>19.999000000000002</v>
      </c>
      <c r="L24" s="16">
        <f t="shared" si="3"/>
        <v>219.989</v>
      </c>
    </row>
    <row r="25" spans="2:12" x14ac:dyDescent="0.25">
      <c r="B25" s="14">
        <v>1020</v>
      </c>
      <c r="C25" s="10">
        <v>45301</v>
      </c>
      <c r="D25" s="10" t="str">
        <f t="shared" si="0"/>
        <v xml:space="preserve"> Jan</v>
      </c>
      <c r="E25" s="11">
        <f t="shared" si="1"/>
        <v>1</v>
      </c>
      <c r="F25" s="7" t="s">
        <v>50</v>
      </c>
      <c r="G25" s="10">
        <v>45305</v>
      </c>
      <c r="H25" s="11">
        <f>SalesData[[#This Row],[Ship Date]]-SalesData[[#This Row],[Order Date]]</f>
        <v>4</v>
      </c>
      <c r="I25" s="12">
        <v>29.99</v>
      </c>
      <c r="J25" s="7">
        <v>5</v>
      </c>
      <c r="K25" s="12">
        <f t="shared" si="2"/>
        <v>14.994999999999999</v>
      </c>
      <c r="L25" s="16">
        <f t="shared" si="3"/>
        <v>164.94499999999999</v>
      </c>
    </row>
    <row r="26" spans="2:12" x14ac:dyDescent="0.25">
      <c r="B26" s="14">
        <v>1021</v>
      </c>
      <c r="C26" s="10">
        <v>45302</v>
      </c>
      <c r="D26" s="10" t="str">
        <f t="shared" si="0"/>
        <v xml:space="preserve"> Jan</v>
      </c>
      <c r="E26" s="11">
        <f t="shared" si="1"/>
        <v>1</v>
      </c>
      <c r="F26" s="7" t="s">
        <v>52</v>
      </c>
      <c r="G26" s="10">
        <v>45305</v>
      </c>
      <c r="H26" s="11">
        <f>SalesData[[#This Row],[Ship Date]]-SalesData[[#This Row],[Order Date]]</f>
        <v>3</v>
      </c>
      <c r="I26" s="12">
        <v>79.989999999999995</v>
      </c>
      <c r="J26" s="7">
        <v>2</v>
      </c>
      <c r="K26" s="12">
        <f t="shared" si="2"/>
        <v>15.997999999999999</v>
      </c>
      <c r="L26" s="16">
        <f t="shared" si="3"/>
        <v>175.97799999999998</v>
      </c>
    </row>
    <row r="27" spans="2:12" x14ac:dyDescent="0.25">
      <c r="B27" s="14">
        <v>1022</v>
      </c>
      <c r="C27" s="10">
        <v>45302</v>
      </c>
      <c r="D27" s="10" t="str">
        <f t="shared" si="0"/>
        <v xml:space="preserve"> Jan</v>
      </c>
      <c r="E27" s="11">
        <f t="shared" si="1"/>
        <v>1</v>
      </c>
      <c r="F27" s="7" t="s">
        <v>54</v>
      </c>
      <c r="G27" s="10">
        <v>45306</v>
      </c>
      <c r="H27" s="11">
        <f>SalesData[[#This Row],[Ship Date]]-SalesData[[#This Row],[Order Date]]</f>
        <v>4</v>
      </c>
      <c r="I27" s="12">
        <v>49.99</v>
      </c>
      <c r="J27" s="7">
        <v>3</v>
      </c>
      <c r="K27" s="12">
        <f t="shared" si="2"/>
        <v>14.997</v>
      </c>
      <c r="L27" s="16">
        <f t="shared" si="3"/>
        <v>164.96699999999998</v>
      </c>
    </row>
    <row r="28" spans="2:12" x14ac:dyDescent="0.25">
      <c r="B28" s="14">
        <v>1023</v>
      </c>
      <c r="C28" s="10">
        <v>45303</v>
      </c>
      <c r="D28" s="10" t="str">
        <f t="shared" si="0"/>
        <v xml:space="preserve"> Jan</v>
      </c>
      <c r="E28" s="11">
        <f t="shared" si="1"/>
        <v>1</v>
      </c>
      <c r="F28" s="7" t="s">
        <v>56</v>
      </c>
      <c r="G28" s="10">
        <v>45308</v>
      </c>
      <c r="H28" s="11">
        <f>SalesData[[#This Row],[Ship Date]]-SalesData[[#This Row],[Order Date]]</f>
        <v>5</v>
      </c>
      <c r="I28" s="12">
        <v>129.99</v>
      </c>
      <c r="J28" s="7">
        <v>1</v>
      </c>
      <c r="K28" s="12">
        <f t="shared" si="2"/>
        <v>12.999000000000002</v>
      </c>
      <c r="L28" s="16">
        <f t="shared" si="3"/>
        <v>142.989</v>
      </c>
    </row>
    <row r="29" spans="2:12" x14ac:dyDescent="0.25">
      <c r="B29" s="14">
        <v>1024</v>
      </c>
      <c r="C29" s="10">
        <v>45303</v>
      </c>
      <c r="D29" s="10" t="str">
        <f t="shared" si="0"/>
        <v xml:space="preserve"> Jan</v>
      </c>
      <c r="E29" s="11">
        <f t="shared" si="1"/>
        <v>1</v>
      </c>
      <c r="F29" s="7" t="s">
        <v>58</v>
      </c>
      <c r="G29" s="10">
        <v>45308</v>
      </c>
      <c r="H29" s="11">
        <f>SalesData[[#This Row],[Ship Date]]-SalesData[[#This Row],[Order Date]]</f>
        <v>5</v>
      </c>
      <c r="I29" s="12">
        <v>19.989999999999998</v>
      </c>
      <c r="J29" s="7">
        <v>4</v>
      </c>
      <c r="K29" s="12">
        <f t="shared" si="2"/>
        <v>7.9959999999999996</v>
      </c>
      <c r="L29" s="16">
        <f t="shared" si="3"/>
        <v>87.955999999999989</v>
      </c>
    </row>
    <row r="30" spans="2:12" x14ac:dyDescent="0.25">
      <c r="B30" s="14">
        <v>1025</v>
      </c>
      <c r="C30" s="10">
        <v>45304</v>
      </c>
      <c r="D30" s="10" t="str">
        <f t="shared" si="0"/>
        <v xml:space="preserve"> Jan</v>
      </c>
      <c r="E30" s="11">
        <f t="shared" si="1"/>
        <v>1</v>
      </c>
      <c r="F30" s="7" t="s">
        <v>20</v>
      </c>
      <c r="G30" s="10">
        <v>45308</v>
      </c>
      <c r="H30" s="11">
        <f>SalesData[[#This Row],[Ship Date]]-SalesData[[#This Row],[Order Date]]</f>
        <v>4</v>
      </c>
      <c r="I30" s="12">
        <v>149.99</v>
      </c>
      <c r="J30" s="7">
        <v>1</v>
      </c>
      <c r="K30" s="12">
        <f t="shared" si="2"/>
        <v>14.999000000000002</v>
      </c>
      <c r="L30" s="16">
        <f t="shared" si="3"/>
        <v>164.989</v>
      </c>
    </row>
    <row r="31" spans="2:12" x14ac:dyDescent="0.25">
      <c r="B31" s="14">
        <v>1026</v>
      </c>
      <c r="C31" s="10">
        <v>45304</v>
      </c>
      <c r="D31" s="10" t="str">
        <f t="shared" si="0"/>
        <v xml:space="preserve"> Jan</v>
      </c>
      <c r="E31" s="11">
        <f t="shared" si="1"/>
        <v>1</v>
      </c>
      <c r="F31" s="7" t="s">
        <v>61</v>
      </c>
      <c r="G31" s="10">
        <v>45305</v>
      </c>
      <c r="H31" s="11">
        <f>SalesData[[#This Row],[Ship Date]]-SalesData[[#This Row],[Order Date]]</f>
        <v>1</v>
      </c>
      <c r="I31" s="12">
        <v>69.989999999999995</v>
      </c>
      <c r="J31" s="7">
        <v>2</v>
      </c>
      <c r="K31" s="12">
        <f t="shared" si="2"/>
        <v>13.997999999999999</v>
      </c>
      <c r="L31" s="16">
        <f t="shared" si="3"/>
        <v>153.97799999999998</v>
      </c>
    </row>
    <row r="32" spans="2:12" x14ac:dyDescent="0.25">
      <c r="B32" s="14">
        <v>1027</v>
      </c>
      <c r="C32" s="10">
        <v>45305</v>
      </c>
      <c r="D32" s="10" t="str">
        <f t="shared" si="0"/>
        <v xml:space="preserve"> Jan</v>
      </c>
      <c r="E32" s="11">
        <f t="shared" si="1"/>
        <v>1</v>
      </c>
      <c r="F32" s="7" t="s">
        <v>63</v>
      </c>
      <c r="G32" s="10">
        <v>45309</v>
      </c>
      <c r="H32" s="11">
        <f>SalesData[[#This Row],[Ship Date]]-SalesData[[#This Row],[Order Date]]</f>
        <v>4</v>
      </c>
      <c r="I32" s="12">
        <v>39.99</v>
      </c>
      <c r="J32" s="7">
        <v>3</v>
      </c>
      <c r="K32" s="12">
        <f t="shared" si="2"/>
        <v>11.997</v>
      </c>
      <c r="L32" s="16">
        <f t="shared" si="3"/>
        <v>131.96699999999998</v>
      </c>
    </row>
    <row r="33" spans="2:12" x14ac:dyDescent="0.25">
      <c r="B33" s="14">
        <v>1028</v>
      </c>
      <c r="C33" s="10">
        <v>45305</v>
      </c>
      <c r="D33" s="10" t="str">
        <f t="shared" si="0"/>
        <v xml:space="preserve"> Jan</v>
      </c>
      <c r="E33" s="11">
        <f t="shared" si="1"/>
        <v>1</v>
      </c>
      <c r="F33" s="7" t="s">
        <v>65</v>
      </c>
      <c r="G33" s="10">
        <v>45310</v>
      </c>
      <c r="H33" s="11">
        <f>SalesData[[#This Row],[Ship Date]]-SalesData[[#This Row],[Order Date]]</f>
        <v>5</v>
      </c>
      <c r="I33" s="12">
        <v>199.99</v>
      </c>
      <c r="J33" s="7">
        <v>1</v>
      </c>
      <c r="K33" s="12">
        <f t="shared" si="2"/>
        <v>19.999000000000002</v>
      </c>
      <c r="L33" s="16">
        <f t="shared" si="3"/>
        <v>219.989</v>
      </c>
    </row>
    <row r="34" spans="2:12" x14ac:dyDescent="0.25">
      <c r="B34" s="14">
        <v>1029</v>
      </c>
      <c r="C34" s="10">
        <v>45306</v>
      </c>
      <c r="D34" s="10" t="str">
        <f t="shared" si="0"/>
        <v xml:space="preserve"> Jan</v>
      </c>
      <c r="E34" s="11">
        <f t="shared" si="1"/>
        <v>1</v>
      </c>
      <c r="F34" s="7" t="s">
        <v>67</v>
      </c>
      <c r="G34" s="10">
        <v>45310</v>
      </c>
      <c r="H34" s="11">
        <f>SalesData[[#This Row],[Ship Date]]-SalesData[[#This Row],[Order Date]]</f>
        <v>4</v>
      </c>
      <c r="I34" s="12">
        <v>29.99</v>
      </c>
      <c r="J34" s="7">
        <v>5</v>
      </c>
      <c r="K34" s="12">
        <f t="shared" si="2"/>
        <v>14.994999999999999</v>
      </c>
      <c r="L34" s="16">
        <f t="shared" si="3"/>
        <v>164.94499999999999</v>
      </c>
    </row>
    <row r="35" spans="2:12" x14ac:dyDescent="0.25">
      <c r="B35" s="14">
        <v>1030</v>
      </c>
      <c r="C35" s="10">
        <v>45306</v>
      </c>
      <c r="D35" s="10" t="str">
        <f t="shared" si="0"/>
        <v xml:space="preserve"> Jan</v>
      </c>
      <c r="E35" s="11">
        <f t="shared" si="1"/>
        <v>1</v>
      </c>
      <c r="F35" s="7" t="s">
        <v>69</v>
      </c>
      <c r="G35" s="10">
        <v>45310</v>
      </c>
      <c r="H35" s="11">
        <f>SalesData[[#This Row],[Ship Date]]-SalesData[[#This Row],[Order Date]]</f>
        <v>4</v>
      </c>
      <c r="I35" s="12">
        <v>79.989999999999995</v>
      </c>
      <c r="J35" s="7">
        <v>2</v>
      </c>
      <c r="K35" s="12">
        <f t="shared" si="2"/>
        <v>15.997999999999999</v>
      </c>
      <c r="L35" s="16">
        <f t="shared" si="3"/>
        <v>175.97799999999998</v>
      </c>
    </row>
    <row r="36" spans="2:12" x14ac:dyDescent="0.25">
      <c r="B36" s="14">
        <v>1031</v>
      </c>
      <c r="C36" s="10">
        <v>45307</v>
      </c>
      <c r="D36" s="10" t="str">
        <f t="shared" si="0"/>
        <v xml:space="preserve"> Jan</v>
      </c>
      <c r="E36" s="11">
        <f t="shared" si="1"/>
        <v>1</v>
      </c>
      <c r="F36" s="7" t="s">
        <v>71</v>
      </c>
      <c r="G36" s="10">
        <v>45310</v>
      </c>
      <c r="H36" s="11">
        <f>SalesData[[#This Row],[Ship Date]]-SalesData[[#This Row],[Order Date]]</f>
        <v>3</v>
      </c>
      <c r="I36" s="12">
        <v>49.99</v>
      </c>
      <c r="J36" s="7">
        <v>3</v>
      </c>
      <c r="K36" s="12">
        <f t="shared" si="2"/>
        <v>14.997</v>
      </c>
      <c r="L36" s="16">
        <f t="shared" si="3"/>
        <v>164.96699999999998</v>
      </c>
    </row>
    <row r="37" spans="2:12" x14ac:dyDescent="0.25">
      <c r="B37" s="14">
        <v>1032</v>
      </c>
      <c r="C37" s="10">
        <v>45307</v>
      </c>
      <c r="D37" s="10" t="str">
        <f t="shared" si="0"/>
        <v xml:space="preserve"> Jan</v>
      </c>
      <c r="E37" s="11">
        <f t="shared" si="1"/>
        <v>1</v>
      </c>
      <c r="F37" s="7" t="s">
        <v>73</v>
      </c>
      <c r="G37" s="10">
        <v>45308</v>
      </c>
      <c r="H37" s="11">
        <f>SalesData[[#This Row],[Ship Date]]-SalesData[[#This Row],[Order Date]]</f>
        <v>1</v>
      </c>
      <c r="I37" s="12">
        <v>129.99</v>
      </c>
      <c r="J37" s="7">
        <v>1</v>
      </c>
      <c r="K37" s="12">
        <f t="shared" si="2"/>
        <v>12.999000000000002</v>
      </c>
      <c r="L37" s="16">
        <f t="shared" si="3"/>
        <v>142.989</v>
      </c>
    </row>
    <row r="38" spans="2:12" x14ac:dyDescent="0.25">
      <c r="B38" s="14">
        <v>1033</v>
      </c>
      <c r="C38" s="10">
        <v>45308</v>
      </c>
      <c r="D38" s="10" t="str">
        <f t="shared" si="0"/>
        <v xml:space="preserve"> Jan</v>
      </c>
      <c r="E38" s="11">
        <f t="shared" si="1"/>
        <v>1</v>
      </c>
      <c r="F38" s="7" t="s">
        <v>75</v>
      </c>
      <c r="G38" s="10">
        <v>45310</v>
      </c>
      <c r="H38" s="11">
        <f>SalesData[[#This Row],[Ship Date]]-SalesData[[#This Row],[Order Date]]</f>
        <v>2</v>
      </c>
      <c r="I38" s="12">
        <v>19.989999999999998</v>
      </c>
      <c r="J38" s="7">
        <v>4</v>
      </c>
      <c r="K38" s="12">
        <f t="shared" si="2"/>
        <v>7.9959999999999996</v>
      </c>
      <c r="L38" s="16">
        <f t="shared" si="3"/>
        <v>87.955999999999989</v>
      </c>
    </row>
    <row r="39" spans="2:12" x14ac:dyDescent="0.25">
      <c r="B39" s="14">
        <v>1034</v>
      </c>
      <c r="C39" s="10">
        <v>45308</v>
      </c>
      <c r="D39" s="10" t="str">
        <f t="shared" si="0"/>
        <v xml:space="preserve"> Jan</v>
      </c>
      <c r="E39" s="11">
        <f t="shared" si="1"/>
        <v>1</v>
      </c>
      <c r="F39" s="7" t="s">
        <v>77</v>
      </c>
      <c r="G39" s="10">
        <v>45310</v>
      </c>
      <c r="H39" s="11">
        <f>SalesData[[#This Row],[Ship Date]]-SalesData[[#This Row],[Order Date]]</f>
        <v>2</v>
      </c>
      <c r="I39" s="12">
        <v>149.99</v>
      </c>
      <c r="J39" s="7">
        <v>1</v>
      </c>
      <c r="K39" s="12">
        <f t="shared" si="2"/>
        <v>14.999000000000002</v>
      </c>
      <c r="L39" s="16">
        <f t="shared" si="3"/>
        <v>164.989</v>
      </c>
    </row>
    <row r="40" spans="2:12" x14ac:dyDescent="0.25">
      <c r="B40" s="14">
        <v>1035</v>
      </c>
      <c r="C40" s="10">
        <v>45309</v>
      </c>
      <c r="D40" s="10" t="str">
        <f t="shared" si="0"/>
        <v xml:space="preserve"> Jan</v>
      </c>
      <c r="E40" s="11">
        <f t="shared" si="1"/>
        <v>1</v>
      </c>
      <c r="F40" s="7" t="s">
        <v>79</v>
      </c>
      <c r="G40" s="10">
        <v>45314</v>
      </c>
      <c r="H40" s="11">
        <f>SalesData[[#This Row],[Ship Date]]-SalesData[[#This Row],[Order Date]]</f>
        <v>5</v>
      </c>
      <c r="I40" s="12">
        <v>69.989999999999995</v>
      </c>
      <c r="J40" s="7">
        <v>2</v>
      </c>
      <c r="K40" s="12">
        <f t="shared" si="2"/>
        <v>13.997999999999999</v>
      </c>
      <c r="L40" s="16">
        <f t="shared" si="3"/>
        <v>153.97799999999998</v>
      </c>
    </row>
    <row r="41" spans="2:12" x14ac:dyDescent="0.25">
      <c r="B41" s="14">
        <v>1036</v>
      </c>
      <c r="C41" s="10">
        <v>45309</v>
      </c>
      <c r="D41" s="10" t="str">
        <f t="shared" si="0"/>
        <v xml:space="preserve"> Jan</v>
      </c>
      <c r="E41" s="11">
        <f t="shared" si="1"/>
        <v>1</v>
      </c>
      <c r="F41" s="7" t="s">
        <v>81</v>
      </c>
      <c r="G41" s="10">
        <v>45310</v>
      </c>
      <c r="H41" s="11">
        <f>SalesData[[#This Row],[Ship Date]]-SalesData[[#This Row],[Order Date]]</f>
        <v>1</v>
      </c>
      <c r="I41" s="12">
        <v>39.99</v>
      </c>
      <c r="J41" s="7">
        <v>3</v>
      </c>
      <c r="K41" s="12">
        <f t="shared" si="2"/>
        <v>11.997</v>
      </c>
      <c r="L41" s="16">
        <f t="shared" si="3"/>
        <v>131.96699999999998</v>
      </c>
    </row>
    <row r="42" spans="2:12" x14ac:dyDescent="0.25">
      <c r="B42" s="14">
        <v>1037</v>
      </c>
      <c r="C42" s="10">
        <v>45310</v>
      </c>
      <c r="D42" s="10" t="str">
        <f t="shared" si="0"/>
        <v xml:space="preserve"> Jan</v>
      </c>
      <c r="E42" s="11">
        <f t="shared" si="1"/>
        <v>1</v>
      </c>
      <c r="F42" s="7" t="s">
        <v>83</v>
      </c>
      <c r="G42" s="10">
        <v>45311</v>
      </c>
      <c r="H42" s="11">
        <f>SalesData[[#This Row],[Ship Date]]-SalesData[[#This Row],[Order Date]]</f>
        <v>1</v>
      </c>
      <c r="I42" s="12">
        <v>199.99</v>
      </c>
      <c r="J42" s="7">
        <v>1</v>
      </c>
      <c r="K42" s="12">
        <f t="shared" si="2"/>
        <v>19.999000000000002</v>
      </c>
      <c r="L42" s="16">
        <f t="shared" si="3"/>
        <v>219.989</v>
      </c>
    </row>
    <row r="43" spans="2:12" x14ac:dyDescent="0.25">
      <c r="B43" s="14">
        <v>1038</v>
      </c>
      <c r="C43" s="10">
        <v>45310</v>
      </c>
      <c r="D43" s="10" t="str">
        <f t="shared" si="0"/>
        <v xml:space="preserve"> Jan</v>
      </c>
      <c r="E43" s="11">
        <f t="shared" si="1"/>
        <v>1</v>
      </c>
      <c r="F43" s="7" t="s">
        <v>85</v>
      </c>
      <c r="G43" s="10">
        <v>45313</v>
      </c>
      <c r="H43" s="11">
        <f>SalesData[[#This Row],[Ship Date]]-SalesData[[#This Row],[Order Date]]</f>
        <v>3</v>
      </c>
      <c r="I43" s="12">
        <v>29.99</v>
      </c>
      <c r="J43" s="7">
        <v>5</v>
      </c>
      <c r="K43" s="12">
        <f t="shared" si="2"/>
        <v>14.994999999999999</v>
      </c>
      <c r="L43" s="16">
        <f t="shared" si="3"/>
        <v>164.94499999999999</v>
      </c>
    </row>
    <row r="44" spans="2:12" x14ac:dyDescent="0.25">
      <c r="B44" s="14">
        <v>1039</v>
      </c>
      <c r="C44" s="10">
        <v>45311</v>
      </c>
      <c r="D44" s="10" t="str">
        <f t="shared" si="0"/>
        <v xml:space="preserve"> Jan</v>
      </c>
      <c r="E44" s="11">
        <f t="shared" si="1"/>
        <v>1</v>
      </c>
      <c r="F44" s="7" t="s">
        <v>16</v>
      </c>
      <c r="G44" s="10">
        <v>45315</v>
      </c>
      <c r="H44" s="11">
        <f>SalesData[[#This Row],[Ship Date]]-SalesData[[#This Row],[Order Date]]</f>
        <v>4</v>
      </c>
      <c r="I44" s="12">
        <v>79.989999999999995</v>
      </c>
      <c r="J44" s="7">
        <v>2</v>
      </c>
      <c r="K44" s="12">
        <f t="shared" si="2"/>
        <v>15.997999999999999</v>
      </c>
      <c r="L44" s="16">
        <f t="shared" si="3"/>
        <v>175.97799999999998</v>
      </c>
    </row>
    <row r="45" spans="2:12" x14ac:dyDescent="0.25">
      <c r="B45" s="14">
        <v>1040</v>
      </c>
      <c r="C45" s="10">
        <v>45311</v>
      </c>
      <c r="D45" s="10" t="str">
        <f t="shared" si="0"/>
        <v xml:space="preserve"> Jan</v>
      </c>
      <c r="E45" s="11">
        <f t="shared" si="1"/>
        <v>1</v>
      </c>
      <c r="F45" s="7" t="s">
        <v>58</v>
      </c>
      <c r="G45" s="10">
        <v>45312</v>
      </c>
      <c r="H45" s="11">
        <f>SalesData[[#This Row],[Ship Date]]-SalesData[[#This Row],[Order Date]]</f>
        <v>1</v>
      </c>
      <c r="I45" s="12">
        <v>49.99</v>
      </c>
      <c r="J45" s="7">
        <v>3</v>
      </c>
      <c r="K45" s="12">
        <f t="shared" si="2"/>
        <v>14.997</v>
      </c>
      <c r="L45" s="16">
        <f t="shared" si="3"/>
        <v>164.96699999999998</v>
      </c>
    </row>
    <row r="46" spans="2:12" x14ac:dyDescent="0.25">
      <c r="B46" s="14">
        <v>1041</v>
      </c>
      <c r="C46" s="10">
        <v>45312</v>
      </c>
      <c r="D46" s="10" t="str">
        <f t="shared" si="0"/>
        <v xml:space="preserve"> Jan</v>
      </c>
      <c r="E46" s="11">
        <f t="shared" si="1"/>
        <v>1</v>
      </c>
      <c r="F46" s="7" t="s">
        <v>20</v>
      </c>
      <c r="G46" s="10">
        <v>45317</v>
      </c>
      <c r="H46" s="11">
        <f>SalesData[[#This Row],[Ship Date]]-SalesData[[#This Row],[Order Date]]</f>
        <v>5</v>
      </c>
      <c r="I46" s="12">
        <v>129.99</v>
      </c>
      <c r="J46" s="7">
        <v>1</v>
      </c>
      <c r="K46" s="12">
        <f t="shared" si="2"/>
        <v>12.999000000000002</v>
      </c>
      <c r="L46" s="16">
        <f t="shared" si="3"/>
        <v>142.989</v>
      </c>
    </row>
    <row r="47" spans="2:12" x14ac:dyDescent="0.25">
      <c r="B47" s="14">
        <v>1042</v>
      </c>
      <c r="C47" s="10">
        <v>45312</v>
      </c>
      <c r="D47" s="10" t="str">
        <f t="shared" si="0"/>
        <v xml:space="preserve"> Jan</v>
      </c>
      <c r="E47" s="11">
        <f t="shared" si="1"/>
        <v>1</v>
      </c>
      <c r="F47" s="7" t="s">
        <v>90</v>
      </c>
      <c r="G47" s="10">
        <v>45314</v>
      </c>
      <c r="H47" s="11">
        <f>SalesData[[#This Row],[Ship Date]]-SalesData[[#This Row],[Order Date]]</f>
        <v>2</v>
      </c>
      <c r="I47" s="12">
        <v>19.989999999999998</v>
      </c>
      <c r="J47" s="7">
        <v>4</v>
      </c>
      <c r="K47" s="12">
        <f t="shared" si="2"/>
        <v>7.9959999999999996</v>
      </c>
      <c r="L47" s="16">
        <f t="shared" si="3"/>
        <v>87.955999999999989</v>
      </c>
    </row>
    <row r="48" spans="2:12" x14ac:dyDescent="0.25">
      <c r="B48" s="14">
        <v>1043</v>
      </c>
      <c r="C48" s="10">
        <v>45313</v>
      </c>
      <c r="D48" s="10" t="str">
        <f t="shared" si="0"/>
        <v xml:space="preserve"> Jan</v>
      </c>
      <c r="E48" s="11">
        <f t="shared" si="1"/>
        <v>1</v>
      </c>
      <c r="F48" s="7" t="s">
        <v>92</v>
      </c>
      <c r="G48" s="10">
        <v>45316</v>
      </c>
      <c r="H48" s="11">
        <f>SalesData[[#This Row],[Ship Date]]-SalesData[[#This Row],[Order Date]]</f>
        <v>3</v>
      </c>
      <c r="I48" s="12">
        <v>149.99</v>
      </c>
      <c r="J48" s="7">
        <v>1</v>
      </c>
      <c r="K48" s="12">
        <f t="shared" si="2"/>
        <v>14.999000000000002</v>
      </c>
      <c r="L48" s="16">
        <f t="shared" si="3"/>
        <v>164.989</v>
      </c>
    </row>
    <row r="49" spans="2:12" x14ac:dyDescent="0.25">
      <c r="B49" s="14">
        <v>1044</v>
      </c>
      <c r="C49" s="10">
        <v>45313</v>
      </c>
      <c r="D49" s="10" t="str">
        <f t="shared" si="0"/>
        <v xml:space="preserve"> Jan</v>
      </c>
      <c r="E49" s="11">
        <f t="shared" si="1"/>
        <v>1</v>
      </c>
      <c r="F49" s="7" t="s">
        <v>18</v>
      </c>
      <c r="G49" s="10">
        <v>45316</v>
      </c>
      <c r="H49" s="11">
        <f>SalesData[[#This Row],[Ship Date]]-SalesData[[#This Row],[Order Date]]</f>
        <v>3</v>
      </c>
      <c r="I49" s="12">
        <v>69.989999999999995</v>
      </c>
      <c r="J49" s="7">
        <v>2</v>
      </c>
      <c r="K49" s="12">
        <f t="shared" si="2"/>
        <v>13.997999999999999</v>
      </c>
      <c r="L49" s="16">
        <f t="shared" si="3"/>
        <v>153.97799999999998</v>
      </c>
    </row>
    <row r="50" spans="2:12" x14ac:dyDescent="0.25">
      <c r="B50" s="14">
        <v>1045</v>
      </c>
      <c r="C50" s="10">
        <v>45314</v>
      </c>
      <c r="D50" s="10" t="str">
        <f t="shared" si="0"/>
        <v xml:space="preserve"> Jan</v>
      </c>
      <c r="E50" s="11">
        <f t="shared" si="1"/>
        <v>1</v>
      </c>
      <c r="F50" s="7" t="s">
        <v>95</v>
      </c>
      <c r="G50" s="10">
        <v>45318</v>
      </c>
      <c r="H50" s="11">
        <f>SalesData[[#This Row],[Ship Date]]-SalesData[[#This Row],[Order Date]]</f>
        <v>4</v>
      </c>
      <c r="I50" s="12">
        <v>39.99</v>
      </c>
      <c r="J50" s="7">
        <v>3</v>
      </c>
      <c r="K50" s="12">
        <f t="shared" si="2"/>
        <v>11.997</v>
      </c>
      <c r="L50" s="16">
        <f t="shared" si="3"/>
        <v>131.96699999999998</v>
      </c>
    </row>
    <row r="51" spans="2:12" x14ac:dyDescent="0.25">
      <c r="B51" s="14">
        <v>1046</v>
      </c>
      <c r="C51" s="10">
        <v>45314</v>
      </c>
      <c r="D51" s="10" t="str">
        <f t="shared" si="0"/>
        <v xml:space="preserve"> Jan</v>
      </c>
      <c r="E51" s="11">
        <f t="shared" si="1"/>
        <v>1</v>
      </c>
      <c r="F51" s="7" t="s">
        <v>50</v>
      </c>
      <c r="G51" s="10">
        <v>45317</v>
      </c>
      <c r="H51" s="11">
        <f>SalesData[[#This Row],[Ship Date]]-SalesData[[#This Row],[Order Date]]</f>
        <v>3</v>
      </c>
      <c r="I51" s="12">
        <v>199.99</v>
      </c>
      <c r="J51" s="7">
        <v>1</v>
      </c>
      <c r="K51" s="12">
        <f t="shared" si="2"/>
        <v>19.999000000000002</v>
      </c>
      <c r="L51" s="16">
        <f t="shared" si="3"/>
        <v>219.989</v>
      </c>
    </row>
    <row r="52" spans="2:12" x14ac:dyDescent="0.25">
      <c r="B52" s="14">
        <v>1047</v>
      </c>
      <c r="C52" s="10">
        <v>45315</v>
      </c>
      <c r="D52" s="10" t="str">
        <f t="shared" si="0"/>
        <v xml:space="preserve"> Jan</v>
      </c>
      <c r="E52" s="11">
        <f t="shared" si="1"/>
        <v>1</v>
      </c>
      <c r="F52" s="7" t="s">
        <v>98</v>
      </c>
      <c r="G52" s="10">
        <v>45316</v>
      </c>
      <c r="H52" s="11">
        <f>SalesData[[#This Row],[Ship Date]]-SalesData[[#This Row],[Order Date]]</f>
        <v>1</v>
      </c>
      <c r="I52" s="12">
        <v>29.99</v>
      </c>
      <c r="J52" s="7">
        <v>5</v>
      </c>
      <c r="K52" s="12">
        <f t="shared" si="2"/>
        <v>14.994999999999999</v>
      </c>
      <c r="L52" s="16">
        <f t="shared" si="3"/>
        <v>164.94499999999999</v>
      </c>
    </row>
    <row r="53" spans="2:12" x14ac:dyDescent="0.25">
      <c r="B53" s="14">
        <v>1048</v>
      </c>
      <c r="C53" s="10">
        <v>45315</v>
      </c>
      <c r="D53" s="10" t="str">
        <f t="shared" si="0"/>
        <v xml:space="preserve"> Jan</v>
      </c>
      <c r="E53" s="11">
        <f t="shared" si="1"/>
        <v>1</v>
      </c>
      <c r="F53" s="7" t="s">
        <v>100</v>
      </c>
      <c r="G53" s="10">
        <v>45317</v>
      </c>
      <c r="H53" s="11">
        <f>SalesData[[#This Row],[Ship Date]]-SalesData[[#This Row],[Order Date]]</f>
        <v>2</v>
      </c>
      <c r="I53" s="12">
        <v>79.989999999999995</v>
      </c>
      <c r="J53" s="7">
        <v>2</v>
      </c>
      <c r="K53" s="12">
        <f t="shared" si="2"/>
        <v>15.997999999999999</v>
      </c>
      <c r="L53" s="16">
        <f t="shared" si="3"/>
        <v>175.97799999999998</v>
      </c>
    </row>
    <row r="54" spans="2:12" x14ac:dyDescent="0.25">
      <c r="B54" s="14">
        <v>1049</v>
      </c>
      <c r="C54" s="10">
        <v>45316</v>
      </c>
      <c r="D54" s="10" t="str">
        <f t="shared" si="0"/>
        <v xml:space="preserve"> Jan</v>
      </c>
      <c r="E54" s="11">
        <f t="shared" si="1"/>
        <v>1</v>
      </c>
      <c r="F54" s="7" t="s">
        <v>102</v>
      </c>
      <c r="G54" s="10">
        <v>45321</v>
      </c>
      <c r="H54" s="11">
        <f>SalesData[[#This Row],[Ship Date]]-SalesData[[#This Row],[Order Date]]</f>
        <v>5</v>
      </c>
      <c r="I54" s="12">
        <v>49.99</v>
      </c>
      <c r="J54" s="7">
        <v>3</v>
      </c>
      <c r="K54" s="12">
        <f t="shared" si="2"/>
        <v>14.997</v>
      </c>
      <c r="L54" s="16">
        <f t="shared" si="3"/>
        <v>164.96699999999998</v>
      </c>
    </row>
    <row r="55" spans="2:12" x14ac:dyDescent="0.25">
      <c r="B55" s="14">
        <v>1050</v>
      </c>
      <c r="C55" s="10">
        <v>45316</v>
      </c>
      <c r="D55" s="10" t="str">
        <f t="shared" si="0"/>
        <v xml:space="preserve"> Jan</v>
      </c>
      <c r="E55" s="11">
        <f t="shared" si="1"/>
        <v>1</v>
      </c>
      <c r="F55" s="7" t="s">
        <v>104</v>
      </c>
      <c r="G55" s="10">
        <v>45318</v>
      </c>
      <c r="H55" s="11">
        <f>SalesData[[#This Row],[Ship Date]]-SalesData[[#This Row],[Order Date]]</f>
        <v>2</v>
      </c>
      <c r="I55" s="12">
        <v>129.99</v>
      </c>
      <c r="J55" s="7">
        <v>1</v>
      </c>
      <c r="K55" s="12">
        <f t="shared" si="2"/>
        <v>12.999000000000002</v>
      </c>
      <c r="L55" s="16">
        <f t="shared" si="3"/>
        <v>142.989</v>
      </c>
    </row>
    <row r="56" spans="2:12" x14ac:dyDescent="0.25">
      <c r="B56" s="14">
        <v>1051</v>
      </c>
      <c r="C56" s="10">
        <v>45317</v>
      </c>
      <c r="D56" s="10" t="str">
        <f t="shared" si="0"/>
        <v xml:space="preserve"> Jan</v>
      </c>
      <c r="E56" s="11">
        <f t="shared" si="1"/>
        <v>1</v>
      </c>
      <c r="F56" s="7" t="s">
        <v>106</v>
      </c>
      <c r="G56" s="10">
        <v>45320</v>
      </c>
      <c r="H56" s="11">
        <f>SalesData[[#This Row],[Ship Date]]-SalesData[[#This Row],[Order Date]]</f>
        <v>3</v>
      </c>
      <c r="I56" s="12">
        <v>19.989999999999998</v>
      </c>
      <c r="J56" s="7">
        <v>4</v>
      </c>
      <c r="K56" s="12">
        <f t="shared" si="2"/>
        <v>7.9959999999999996</v>
      </c>
      <c r="L56" s="16">
        <f t="shared" si="3"/>
        <v>87.955999999999989</v>
      </c>
    </row>
    <row r="57" spans="2:12" x14ac:dyDescent="0.25">
      <c r="B57" s="14">
        <v>1052</v>
      </c>
      <c r="C57" s="10">
        <v>45317</v>
      </c>
      <c r="D57" s="10" t="str">
        <f t="shared" si="0"/>
        <v xml:space="preserve"> Jan</v>
      </c>
      <c r="E57" s="11">
        <f t="shared" si="1"/>
        <v>1</v>
      </c>
      <c r="F57" s="7" t="s">
        <v>108</v>
      </c>
      <c r="G57" s="10">
        <v>45319</v>
      </c>
      <c r="H57" s="11">
        <f>SalesData[[#This Row],[Ship Date]]-SalesData[[#This Row],[Order Date]]</f>
        <v>2</v>
      </c>
      <c r="I57" s="12">
        <v>149.99</v>
      </c>
      <c r="J57" s="7">
        <v>1</v>
      </c>
      <c r="K57" s="12">
        <f t="shared" si="2"/>
        <v>14.999000000000002</v>
      </c>
      <c r="L57" s="16">
        <f t="shared" si="3"/>
        <v>164.989</v>
      </c>
    </row>
    <row r="58" spans="2:12" x14ac:dyDescent="0.25">
      <c r="B58" s="14">
        <v>1053</v>
      </c>
      <c r="C58" s="10">
        <v>45318</v>
      </c>
      <c r="D58" s="10" t="str">
        <f t="shared" si="0"/>
        <v xml:space="preserve"> Jan</v>
      </c>
      <c r="E58" s="11">
        <f t="shared" si="1"/>
        <v>1</v>
      </c>
      <c r="F58" s="7" t="s">
        <v>110</v>
      </c>
      <c r="G58" s="10">
        <v>45322</v>
      </c>
      <c r="H58" s="11">
        <f>SalesData[[#This Row],[Ship Date]]-SalesData[[#This Row],[Order Date]]</f>
        <v>4</v>
      </c>
      <c r="I58" s="12">
        <v>69.989999999999995</v>
      </c>
      <c r="J58" s="7">
        <v>2</v>
      </c>
      <c r="K58" s="12">
        <f t="shared" si="2"/>
        <v>13.997999999999999</v>
      </c>
      <c r="L58" s="16">
        <f t="shared" si="3"/>
        <v>153.97799999999998</v>
      </c>
    </row>
    <row r="59" spans="2:12" x14ac:dyDescent="0.25">
      <c r="B59" s="14">
        <v>1054</v>
      </c>
      <c r="C59" s="10">
        <v>45318</v>
      </c>
      <c r="D59" s="10" t="str">
        <f t="shared" si="0"/>
        <v xml:space="preserve"> Jan</v>
      </c>
      <c r="E59" s="11">
        <f t="shared" si="1"/>
        <v>1</v>
      </c>
      <c r="F59" s="7" t="s">
        <v>112</v>
      </c>
      <c r="G59" s="10">
        <v>45322</v>
      </c>
      <c r="H59" s="11">
        <f>SalesData[[#This Row],[Ship Date]]-SalesData[[#This Row],[Order Date]]</f>
        <v>4</v>
      </c>
      <c r="I59" s="12">
        <v>39.99</v>
      </c>
      <c r="J59" s="7">
        <v>3</v>
      </c>
      <c r="K59" s="12">
        <f t="shared" si="2"/>
        <v>11.997</v>
      </c>
      <c r="L59" s="16">
        <f t="shared" si="3"/>
        <v>131.96699999999998</v>
      </c>
    </row>
    <row r="60" spans="2:12" x14ac:dyDescent="0.25">
      <c r="B60" s="14">
        <v>1055</v>
      </c>
      <c r="C60" s="10">
        <v>45319</v>
      </c>
      <c r="D60" s="10" t="str">
        <f t="shared" si="0"/>
        <v xml:space="preserve"> Jan</v>
      </c>
      <c r="E60" s="11">
        <f t="shared" si="1"/>
        <v>1</v>
      </c>
      <c r="F60" s="7" t="s">
        <v>114</v>
      </c>
      <c r="G60" s="10">
        <v>45320</v>
      </c>
      <c r="H60" s="11">
        <f>SalesData[[#This Row],[Ship Date]]-SalesData[[#This Row],[Order Date]]</f>
        <v>1</v>
      </c>
      <c r="I60" s="12">
        <v>199.99</v>
      </c>
      <c r="J60" s="7">
        <v>1</v>
      </c>
      <c r="K60" s="12">
        <f t="shared" si="2"/>
        <v>19.999000000000002</v>
      </c>
      <c r="L60" s="16">
        <f t="shared" si="3"/>
        <v>219.989</v>
      </c>
    </row>
    <row r="61" spans="2:12" x14ac:dyDescent="0.25">
      <c r="B61" s="14">
        <v>1056</v>
      </c>
      <c r="C61" s="10">
        <v>45319</v>
      </c>
      <c r="D61" s="10" t="str">
        <f t="shared" si="0"/>
        <v xml:space="preserve"> Jan</v>
      </c>
      <c r="E61" s="11">
        <f t="shared" si="1"/>
        <v>1</v>
      </c>
      <c r="F61" s="7" t="s">
        <v>116</v>
      </c>
      <c r="G61" s="10">
        <v>45320</v>
      </c>
      <c r="H61" s="11">
        <f>SalesData[[#This Row],[Ship Date]]-SalesData[[#This Row],[Order Date]]</f>
        <v>1</v>
      </c>
      <c r="I61" s="12">
        <v>29.99</v>
      </c>
      <c r="J61" s="7">
        <v>5</v>
      </c>
      <c r="K61" s="12">
        <f t="shared" si="2"/>
        <v>14.994999999999999</v>
      </c>
      <c r="L61" s="16">
        <f t="shared" si="3"/>
        <v>164.94499999999999</v>
      </c>
    </row>
    <row r="62" spans="2:12" x14ac:dyDescent="0.25">
      <c r="B62" s="14">
        <v>1057</v>
      </c>
      <c r="C62" s="10">
        <v>45320</v>
      </c>
      <c r="D62" s="10" t="str">
        <f t="shared" si="0"/>
        <v xml:space="preserve"> Jan</v>
      </c>
      <c r="E62" s="11">
        <f t="shared" si="1"/>
        <v>1</v>
      </c>
      <c r="F62" s="7" t="s">
        <v>118</v>
      </c>
      <c r="G62" s="10">
        <v>45321</v>
      </c>
      <c r="H62" s="11">
        <f>SalesData[[#This Row],[Ship Date]]-SalesData[[#This Row],[Order Date]]</f>
        <v>1</v>
      </c>
      <c r="I62" s="12">
        <v>79.989999999999995</v>
      </c>
      <c r="J62" s="7">
        <v>2</v>
      </c>
      <c r="K62" s="12">
        <f t="shared" si="2"/>
        <v>15.997999999999999</v>
      </c>
      <c r="L62" s="16">
        <f t="shared" si="3"/>
        <v>175.97799999999998</v>
      </c>
    </row>
    <row r="63" spans="2:12" x14ac:dyDescent="0.25">
      <c r="B63" s="14">
        <v>1058</v>
      </c>
      <c r="C63" s="10">
        <v>45320</v>
      </c>
      <c r="D63" s="10" t="str">
        <f t="shared" si="0"/>
        <v xml:space="preserve"> Jan</v>
      </c>
      <c r="E63" s="11">
        <f t="shared" si="1"/>
        <v>1</v>
      </c>
      <c r="F63" s="7" t="s">
        <v>90</v>
      </c>
      <c r="G63" s="10">
        <v>45322</v>
      </c>
      <c r="H63" s="11">
        <f>SalesData[[#This Row],[Ship Date]]-SalesData[[#This Row],[Order Date]]</f>
        <v>2</v>
      </c>
      <c r="I63" s="12">
        <v>49.99</v>
      </c>
      <c r="J63" s="7">
        <v>3</v>
      </c>
      <c r="K63" s="12">
        <f t="shared" si="2"/>
        <v>14.997</v>
      </c>
      <c r="L63" s="16">
        <f t="shared" si="3"/>
        <v>164.96699999999998</v>
      </c>
    </row>
    <row r="64" spans="2:12" x14ac:dyDescent="0.25">
      <c r="B64" s="14">
        <v>1059</v>
      </c>
      <c r="C64" s="10">
        <v>45321</v>
      </c>
      <c r="D64" s="10" t="str">
        <f t="shared" si="0"/>
        <v xml:space="preserve"> Jan</v>
      </c>
      <c r="E64" s="11">
        <f t="shared" si="1"/>
        <v>1</v>
      </c>
      <c r="F64" s="7" t="s">
        <v>92</v>
      </c>
      <c r="G64" s="10">
        <v>45322</v>
      </c>
      <c r="H64" s="11">
        <f>SalesData[[#This Row],[Ship Date]]-SalesData[[#This Row],[Order Date]]</f>
        <v>1</v>
      </c>
      <c r="I64" s="12">
        <v>129.99</v>
      </c>
      <c r="J64" s="7">
        <v>1</v>
      </c>
      <c r="K64" s="12">
        <f t="shared" si="2"/>
        <v>12.999000000000002</v>
      </c>
      <c r="L64" s="16">
        <f t="shared" si="3"/>
        <v>142.989</v>
      </c>
    </row>
    <row r="65" spans="2:12" x14ac:dyDescent="0.25">
      <c r="B65" s="14">
        <v>1060</v>
      </c>
      <c r="C65" s="10">
        <v>45321</v>
      </c>
      <c r="D65" s="10" t="str">
        <f t="shared" si="0"/>
        <v xml:space="preserve"> Jan</v>
      </c>
      <c r="E65" s="11">
        <f t="shared" si="1"/>
        <v>1</v>
      </c>
      <c r="F65" s="7" t="s">
        <v>18</v>
      </c>
      <c r="G65" s="10">
        <v>45323</v>
      </c>
      <c r="H65" s="11">
        <f>SalesData[[#This Row],[Ship Date]]-SalesData[[#This Row],[Order Date]]</f>
        <v>2</v>
      </c>
      <c r="I65" s="12">
        <v>19.989999999999998</v>
      </c>
      <c r="J65" s="7">
        <v>4</v>
      </c>
      <c r="K65" s="12">
        <f t="shared" si="2"/>
        <v>7.9959999999999996</v>
      </c>
      <c r="L65" s="16">
        <f t="shared" si="3"/>
        <v>87.955999999999989</v>
      </c>
    </row>
    <row r="66" spans="2:12" x14ac:dyDescent="0.25">
      <c r="B66" s="14">
        <v>1061</v>
      </c>
      <c r="C66" s="10">
        <v>45322</v>
      </c>
      <c r="D66" s="10" t="str">
        <f t="shared" si="0"/>
        <v xml:space="preserve"> Jan</v>
      </c>
      <c r="E66" s="11">
        <f t="shared" si="1"/>
        <v>1</v>
      </c>
      <c r="F66" s="7" t="s">
        <v>95</v>
      </c>
      <c r="G66" s="10">
        <v>45324</v>
      </c>
      <c r="H66" s="11">
        <f>SalesData[[#This Row],[Ship Date]]-SalesData[[#This Row],[Order Date]]</f>
        <v>2</v>
      </c>
      <c r="I66" s="12">
        <v>149.99</v>
      </c>
      <c r="J66" s="7">
        <v>1</v>
      </c>
      <c r="K66" s="12">
        <f t="shared" si="2"/>
        <v>14.999000000000002</v>
      </c>
      <c r="L66" s="16">
        <f t="shared" si="3"/>
        <v>164.989</v>
      </c>
    </row>
    <row r="67" spans="2:12" x14ac:dyDescent="0.25">
      <c r="B67" s="14">
        <v>1062</v>
      </c>
      <c r="C67" s="10">
        <v>45322</v>
      </c>
      <c r="D67" s="10" t="str">
        <f t="shared" si="0"/>
        <v xml:space="preserve"> Jan</v>
      </c>
      <c r="E67" s="11">
        <f t="shared" si="1"/>
        <v>1</v>
      </c>
      <c r="F67" s="7" t="s">
        <v>50</v>
      </c>
      <c r="G67" s="10">
        <v>45326</v>
      </c>
      <c r="H67" s="11">
        <f>SalesData[[#This Row],[Ship Date]]-SalesData[[#This Row],[Order Date]]</f>
        <v>4</v>
      </c>
      <c r="I67" s="12">
        <v>69.989999999999995</v>
      </c>
      <c r="J67" s="7">
        <v>2</v>
      </c>
      <c r="K67" s="12">
        <f t="shared" si="2"/>
        <v>13.997999999999999</v>
      </c>
      <c r="L67" s="16">
        <f t="shared" si="3"/>
        <v>153.97799999999998</v>
      </c>
    </row>
    <row r="68" spans="2:12" x14ac:dyDescent="0.25">
      <c r="B68" s="14">
        <v>1063</v>
      </c>
      <c r="C68" s="10">
        <v>45323</v>
      </c>
      <c r="D68" s="10" t="str">
        <f t="shared" si="0"/>
        <v xml:space="preserve"> Feb</v>
      </c>
      <c r="E68" s="11">
        <f t="shared" si="1"/>
        <v>2</v>
      </c>
      <c r="F68" s="7" t="s">
        <v>98</v>
      </c>
      <c r="G68" s="10">
        <v>45324</v>
      </c>
      <c r="H68" s="11">
        <f>SalesData[[#This Row],[Ship Date]]-SalesData[[#This Row],[Order Date]]</f>
        <v>1</v>
      </c>
      <c r="I68" s="12">
        <v>39.99</v>
      </c>
      <c r="J68" s="7">
        <v>3</v>
      </c>
      <c r="K68" s="12">
        <f t="shared" si="2"/>
        <v>11.997</v>
      </c>
      <c r="L68" s="16">
        <f t="shared" si="3"/>
        <v>131.96699999999998</v>
      </c>
    </row>
    <row r="69" spans="2:12" x14ac:dyDescent="0.25">
      <c r="B69" s="14">
        <v>1064</v>
      </c>
      <c r="C69" s="10">
        <v>45323</v>
      </c>
      <c r="D69" s="10" t="str">
        <f t="shared" si="0"/>
        <v xml:space="preserve"> Feb</v>
      </c>
      <c r="E69" s="11">
        <f t="shared" si="1"/>
        <v>2</v>
      </c>
      <c r="F69" s="7" t="s">
        <v>100</v>
      </c>
      <c r="G69" s="10">
        <v>45327</v>
      </c>
      <c r="H69" s="11">
        <f>SalesData[[#This Row],[Ship Date]]-SalesData[[#This Row],[Order Date]]</f>
        <v>4</v>
      </c>
      <c r="I69" s="12">
        <v>199.99</v>
      </c>
      <c r="J69" s="7">
        <v>1</v>
      </c>
      <c r="K69" s="12">
        <f t="shared" si="2"/>
        <v>19.999000000000002</v>
      </c>
      <c r="L69" s="16">
        <f t="shared" si="3"/>
        <v>219.989</v>
      </c>
    </row>
    <row r="70" spans="2:12" x14ac:dyDescent="0.25">
      <c r="B70" s="14">
        <v>1065</v>
      </c>
      <c r="C70" s="10">
        <v>45323</v>
      </c>
      <c r="D70" s="10" t="str">
        <f t="shared" si="0"/>
        <v xml:space="preserve"> Feb</v>
      </c>
      <c r="E70" s="11">
        <f t="shared" si="1"/>
        <v>2</v>
      </c>
      <c r="F70" s="7" t="s">
        <v>102</v>
      </c>
      <c r="G70" s="10">
        <v>45325</v>
      </c>
      <c r="H70" s="11">
        <f>SalesData[[#This Row],[Ship Date]]-SalesData[[#This Row],[Order Date]]</f>
        <v>2</v>
      </c>
      <c r="I70" s="12">
        <v>29.99</v>
      </c>
      <c r="J70" s="7">
        <v>5</v>
      </c>
      <c r="K70" s="12">
        <f t="shared" si="2"/>
        <v>14.994999999999999</v>
      </c>
      <c r="L70" s="16">
        <f t="shared" si="3"/>
        <v>164.94499999999999</v>
      </c>
    </row>
    <row r="71" spans="2:12" x14ac:dyDescent="0.25">
      <c r="B71" s="14">
        <v>1066</v>
      </c>
      <c r="C71" s="10">
        <v>45324</v>
      </c>
      <c r="D71" s="10" t="str">
        <f t="shared" ref="D71:D75" si="4">TEXT(C71," mmm")</f>
        <v xml:space="preserve"> Feb</v>
      </c>
      <c r="E71" s="11">
        <f t="shared" ref="E71:E75" si="5">MONTH(C71)</f>
        <v>2</v>
      </c>
      <c r="F71" s="7" t="s">
        <v>104</v>
      </c>
      <c r="G71" s="10">
        <v>45328</v>
      </c>
      <c r="H71" s="11">
        <f>SalesData[[#This Row],[Ship Date]]-SalesData[[#This Row],[Order Date]]</f>
        <v>4</v>
      </c>
      <c r="I71" s="12">
        <v>79.989999999999995</v>
      </c>
      <c r="J71" s="7">
        <v>2</v>
      </c>
      <c r="K71" s="12">
        <f t="shared" ref="K71:K75" si="6">I71*J71*$L$3</f>
        <v>15.997999999999999</v>
      </c>
      <c r="L71" s="16">
        <f t="shared" ref="L71:L75" si="7">I71*J71+K71</f>
        <v>175.97799999999998</v>
      </c>
    </row>
    <row r="72" spans="2:12" x14ac:dyDescent="0.25">
      <c r="B72" s="14">
        <v>1067</v>
      </c>
      <c r="C72" s="10">
        <v>45325</v>
      </c>
      <c r="D72" s="10" t="str">
        <f t="shared" si="4"/>
        <v xml:space="preserve"> Feb</v>
      </c>
      <c r="E72" s="11">
        <f t="shared" si="5"/>
        <v>2</v>
      </c>
      <c r="F72" s="7" t="s">
        <v>106</v>
      </c>
      <c r="G72" s="10">
        <v>45328</v>
      </c>
      <c r="H72" s="11">
        <f>SalesData[[#This Row],[Ship Date]]-SalesData[[#This Row],[Order Date]]</f>
        <v>3</v>
      </c>
      <c r="I72" s="12">
        <v>49.99</v>
      </c>
      <c r="J72" s="7">
        <v>3</v>
      </c>
      <c r="K72" s="12">
        <f t="shared" si="6"/>
        <v>14.997</v>
      </c>
      <c r="L72" s="16">
        <f t="shared" si="7"/>
        <v>164.96699999999998</v>
      </c>
    </row>
    <row r="73" spans="2:12" x14ac:dyDescent="0.25">
      <c r="B73" s="14">
        <v>1068</v>
      </c>
      <c r="C73" s="10">
        <v>45326</v>
      </c>
      <c r="D73" s="10" t="str">
        <f t="shared" si="4"/>
        <v xml:space="preserve"> Feb</v>
      </c>
      <c r="E73" s="11">
        <f t="shared" si="5"/>
        <v>2</v>
      </c>
      <c r="F73" s="7" t="s">
        <v>108</v>
      </c>
      <c r="G73" s="10">
        <v>45327</v>
      </c>
      <c r="H73" s="11">
        <f>SalesData[[#This Row],[Ship Date]]-SalesData[[#This Row],[Order Date]]</f>
        <v>1</v>
      </c>
      <c r="I73" s="12">
        <v>129.99</v>
      </c>
      <c r="J73" s="7">
        <v>1</v>
      </c>
      <c r="K73" s="12">
        <f t="shared" si="6"/>
        <v>12.999000000000002</v>
      </c>
      <c r="L73" s="16">
        <f t="shared" si="7"/>
        <v>142.989</v>
      </c>
    </row>
    <row r="74" spans="2:12" x14ac:dyDescent="0.25">
      <c r="B74" s="14">
        <v>1069</v>
      </c>
      <c r="C74" s="10">
        <v>45326</v>
      </c>
      <c r="D74" s="10" t="str">
        <f t="shared" si="4"/>
        <v xml:space="preserve"> Feb</v>
      </c>
      <c r="E74" s="11">
        <f t="shared" si="5"/>
        <v>2</v>
      </c>
      <c r="F74" s="7" t="s">
        <v>110</v>
      </c>
      <c r="G74" s="10">
        <v>45330</v>
      </c>
      <c r="H74" s="11">
        <f>SalesData[[#This Row],[Ship Date]]-SalesData[[#This Row],[Order Date]]</f>
        <v>4</v>
      </c>
      <c r="I74" s="12">
        <v>19.989999999999998</v>
      </c>
      <c r="J74" s="7">
        <v>4</v>
      </c>
      <c r="K74" s="12">
        <f t="shared" si="6"/>
        <v>7.9959999999999996</v>
      </c>
      <c r="L74" s="16">
        <f t="shared" si="7"/>
        <v>87.955999999999989</v>
      </c>
    </row>
    <row r="75" spans="2:12" x14ac:dyDescent="0.25">
      <c r="B75" s="17">
        <v>1070</v>
      </c>
      <c r="C75" s="18">
        <v>45326</v>
      </c>
      <c r="D75" s="18" t="str">
        <f t="shared" si="4"/>
        <v xml:space="preserve"> Feb</v>
      </c>
      <c r="E75" s="19">
        <f t="shared" si="5"/>
        <v>2</v>
      </c>
      <c r="F75" s="20" t="s">
        <v>112</v>
      </c>
      <c r="G75" s="18">
        <v>45329</v>
      </c>
      <c r="H75" s="19">
        <f>SalesData[[#This Row],[Ship Date]]-SalesData[[#This Row],[Order Date]]</f>
        <v>3</v>
      </c>
      <c r="I75" s="21">
        <v>149.99</v>
      </c>
      <c r="J75" s="20">
        <v>1</v>
      </c>
      <c r="K75" s="21">
        <f t="shared" si="6"/>
        <v>14.999000000000002</v>
      </c>
      <c r="L75" s="22">
        <f t="shared" si="7"/>
        <v>164.989</v>
      </c>
    </row>
    <row r="76" spans="2:12" x14ac:dyDescent="0.25">
      <c r="C76" s="9"/>
      <c r="D76" s="9"/>
      <c r="E76" s="9"/>
    </row>
    <row r="77" spans="2:12" x14ac:dyDescent="0.25">
      <c r="C77" s="9"/>
      <c r="D77" s="9"/>
      <c r="E77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4909-6188-4439-93DF-F3FC77F89E18}">
  <dimension ref="B1:I62"/>
  <sheetViews>
    <sheetView workbookViewId="0">
      <selection activeCell="B15" sqref="B15"/>
    </sheetView>
  </sheetViews>
  <sheetFormatPr defaultRowHeight="15" x14ac:dyDescent="0.25"/>
  <cols>
    <col min="1" max="1" width="13.42578125" customWidth="1"/>
    <col min="2" max="2" width="17.28515625" bestFit="1" customWidth="1"/>
    <col min="3" max="3" width="18.140625" bestFit="1" customWidth="1"/>
    <col min="4" max="4" width="18.140625" customWidth="1"/>
    <col min="5" max="5" width="18.28515625" bestFit="1" customWidth="1"/>
    <col min="6" max="7" width="18.140625" bestFit="1" customWidth="1"/>
    <col min="8" max="8" width="17.28515625" bestFit="1" customWidth="1"/>
    <col min="9" max="9" width="21.42578125" bestFit="1" customWidth="1"/>
    <col min="10" max="11" width="20.85546875" bestFit="1" customWidth="1"/>
    <col min="12" max="12" width="17.28515625" bestFit="1" customWidth="1"/>
    <col min="13" max="13" width="4.85546875" bestFit="1" customWidth="1"/>
    <col min="14" max="14" width="17.5703125" bestFit="1" customWidth="1"/>
    <col min="15" max="75" width="5" bestFit="1" customWidth="1"/>
    <col min="76" max="76" width="11.28515625" bestFit="1" customWidth="1"/>
  </cols>
  <sheetData>
    <row r="1" spans="2:9" x14ac:dyDescent="0.25">
      <c r="B1" s="26"/>
    </row>
    <row r="3" spans="2:9" ht="18.75" x14ac:dyDescent="0.3">
      <c r="B3" s="32" t="s">
        <v>143</v>
      </c>
      <c r="C3" s="32"/>
      <c r="F3" s="32" t="s">
        <v>147</v>
      </c>
      <c r="G3" s="32"/>
      <c r="H3" s="32"/>
      <c r="I3" s="32"/>
    </row>
    <row r="5" spans="2:9" x14ac:dyDescent="0.25">
      <c r="B5" s="23" t="s">
        <v>132</v>
      </c>
      <c r="C5" t="s">
        <v>149</v>
      </c>
      <c r="F5" s="23" t="s">
        <v>142</v>
      </c>
      <c r="G5" s="23" t="s">
        <v>132</v>
      </c>
    </row>
    <row r="6" spans="2:9" x14ac:dyDescent="0.25">
      <c r="B6" s="24" t="s">
        <v>135</v>
      </c>
      <c r="C6" s="25">
        <v>9601.3719999999921</v>
      </c>
      <c r="F6" s="23" t="s">
        <v>139</v>
      </c>
      <c r="G6" t="s">
        <v>135</v>
      </c>
      <c r="H6" t="s">
        <v>136</v>
      </c>
      <c r="I6" t="s">
        <v>140</v>
      </c>
    </row>
    <row r="7" spans="2:9" x14ac:dyDescent="0.25">
      <c r="B7" s="24" t="s">
        <v>136</v>
      </c>
      <c r="C7" s="25">
        <v>1253.78</v>
      </c>
      <c r="F7" s="24" t="s">
        <v>42</v>
      </c>
      <c r="G7">
        <v>1</v>
      </c>
      <c r="I7">
        <v>1</v>
      </c>
    </row>
    <row r="8" spans="2:9" x14ac:dyDescent="0.25">
      <c r="B8" s="24" t="s">
        <v>134</v>
      </c>
      <c r="C8" s="25">
        <v>10855.151999999993</v>
      </c>
      <c r="F8" s="24" t="s">
        <v>54</v>
      </c>
      <c r="G8">
        <v>1</v>
      </c>
      <c r="I8">
        <v>1</v>
      </c>
    </row>
    <row r="9" spans="2:9" x14ac:dyDescent="0.25">
      <c r="F9" s="24" t="s">
        <v>56</v>
      </c>
      <c r="G9">
        <v>1</v>
      </c>
      <c r="I9">
        <v>1</v>
      </c>
    </row>
    <row r="10" spans="2:9" x14ac:dyDescent="0.25">
      <c r="F10" s="24" t="s">
        <v>28</v>
      </c>
      <c r="G10">
        <v>1</v>
      </c>
      <c r="I10">
        <v>1</v>
      </c>
    </row>
    <row r="11" spans="2:9" x14ac:dyDescent="0.25">
      <c r="F11" s="24" t="s">
        <v>110</v>
      </c>
      <c r="G11">
        <v>1</v>
      </c>
      <c r="H11">
        <v>1</v>
      </c>
      <c r="I11">
        <v>2</v>
      </c>
    </row>
    <row r="12" spans="2:9" ht="18.75" x14ac:dyDescent="0.3">
      <c r="B12" s="32" t="s">
        <v>144</v>
      </c>
      <c r="C12" s="32"/>
      <c r="F12" s="24" t="s">
        <v>83</v>
      </c>
      <c r="G12">
        <v>1</v>
      </c>
      <c r="I12">
        <v>1</v>
      </c>
    </row>
    <row r="13" spans="2:9" x14ac:dyDescent="0.25">
      <c r="F13" s="24" t="s">
        <v>95</v>
      </c>
      <c r="G13">
        <v>2</v>
      </c>
      <c r="I13">
        <v>2</v>
      </c>
    </row>
    <row r="14" spans="2:9" x14ac:dyDescent="0.25">
      <c r="B14" s="23" t="s">
        <v>132</v>
      </c>
      <c r="C14" t="s">
        <v>150</v>
      </c>
      <c r="F14" s="24" t="s">
        <v>24</v>
      </c>
      <c r="G14">
        <v>1</v>
      </c>
      <c r="I14">
        <v>1</v>
      </c>
    </row>
    <row r="15" spans="2:9" x14ac:dyDescent="0.25">
      <c r="B15" s="24" t="s">
        <v>135</v>
      </c>
      <c r="C15">
        <v>62</v>
      </c>
      <c r="F15" s="24" t="s">
        <v>48</v>
      </c>
      <c r="G15">
        <v>1</v>
      </c>
      <c r="I15">
        <v>1</v>
      </c>
    </row>
    <row r="16" spans="2:9" x14ac:dyDescent="0.25">
      <c r="B16" s="24" t="s">
        <v>136</v>
      </c>
      <c r="C16">
        <v>8</v>
      </c>
      <c r="F16" s="24" t="s">
        <v>67</v>
      </c>
      <c r="G16">
        <v>1</v>
      </c>
      <c r="I16">
        <v>1</v>
      </c>
    </row>
    <row r="17" spans="2:9" x14ac:dyDescent="0.25">
      <c r="B17" s="24" t="s">
        <v>134</v>
      </c>
      <c r="C17">
        <v>70</v>
      </c>
      <c r="F17" s="24" t="s">
        <v>75</v>
      </c>
      <c r="G17">
        <v>1</v>
      </c>
      <c r="I17">
        <v>1</v>
      </c>
    </row>
    <row r="18" spans="2:9" x14ac:dyDescent="0.25">
      <c r="F18" s="24" t="s">
        <v>118</v>
      </c>
      <c r="G18">
        <v>1</v>
      </c>
      <c r="I18">
        <v>1</v>
      </c>
    </row>
    <row r="19" spans="2:9" x14ac:dyDescent="0.25">
      <c r="F19" s="24" t="s">
        <v>102</v>
      </c>
      <c r="G19">
        <v>1</v>
      </c>
      <c r="H19">
        <v>1</v>
      </c>
      <c r="I19">
        <v>2</v>
      </c>
    </row>
    <row r="20" spans="2:9" x14ac:dyDescent="0.25">
      <c r="F20" s="24" t="s">
        <v>20</v>
      </c>
      <c r="G20">
        <v>3</v>
      </c>
      <c r="I20">
        <v>3</v>
      </c>
    </row>
    <row r="21" spans="2:9" ht="18.75" x14ac:dyDescent="0.3">
      <c r="B21" s="32" t="s">
        <v>145</v>
      </c>
      <c r="C21" s="32"/>
      <c r="F21" s="24" t="s">
        <v>18</v>
      </c>
      <c r="G21">
        <v>3</v>
      </c>
      <c r="I21">
        <v>3</v>
      </c>
    </row>
    <row r="22" spans="2:9" x14ac:dyDescent="0.25">
      <c r="F22" s="24" t="s">
        <v>65</v>
      </c>
      <c r="G22">
        <v>1</v>
      </c>
      <c r="I22">
        <v>1</v>
      </c>
    </row>
    <row r="23" spans="2:9" x14ac:dyDescent="0.25">
      <c r="B23" s="23" t="s">
        <v>5</v>
      </c>
      <c r="C23" t="s">
        <v>149</v>
      </c>
      <c r="F23" s="24" t="s">
        <v>108</v>
      </c>
      <c r="G23">
        <v>1</v>
      </c>
      <c r="H23">
        <v>1</v>
      </c>
      <c r="I23">
        <v>2</v>
      </c>
    </row>
    <row r="24" spans="2:9" x14ac:dyDescent="0.25">
      <c r="B24" s="24" t="s">
        <v>50</v>
      </c>
      <c r="C24" s="25">
        <v>538.91199999999992</v>
      </c>
      <c r="F24" s="24" t="s">
        <v>81</v>
      </c>
      <c r="G24">
        <v>1</v>
      </c>
      <c r="I24">
        <v>1</v>
      </c>
    </row>
    <row r="25" spans="2:9" x14ac:dyDescent="0.25">
      <c r="B25" s="24" t="s">
        <v>16</v>
      </c>
      <c r="C25" s="25">
        <v>505.94499999999994</v>
      </c>
      <c r="F25" s="24" t="s">
        <v>44</v>
      </c>
      <c r="G25">
        <v>1</v>
      </c>
      <c r="I25">
        <v>1</v>
      </c>
    </row>
    <row r="26" spans="2:9" x14ac:dyDescent="0.25">
      <c r="B26" s="24" t="s">
        <v>20</v>
      </c>
      <c r="C26" s="25">
        <v>472.96699999999998</v>
      </c>
      <c r="F26" s="24" t="s">
        <v>14</v>
      </c>
      <c r="G26">
        <v>1</v>
      </c>
      <c r="I26">
        <v>1</v>
      </c>
    </row>
    <row r="27" spans="2:9" x14ac:dyDescent="0.25">
      <c r="B27" s="24" t="s">
        <v>100</v>
      </c>
      <c r="C27" s="25">
        <v>395.96699999999998</v>
      </c>
      <c r="F27" s="24" t="s">
        <v>50</v>
      </c>
      <c r="G27">
        <v>3</v>
      </c>
      <c r="I27">
        <v>3</v>
      </c>
    </row>
    <row r="28" spans="2:9" x14ac:dyDescent="0.25">
      <c r="B28" s="24" t="s">
        <v>102</v>
      </c>
      <c r="C28" s="25">
        <v>329.91199999999998</v>
      </c>
      <c r="F28" s="24" t="s">
        <v>112</v>
      </c>
      <c r="G28">
        <v>1</v>
      </c>
      <c r="H28">
        <v>1</v>
      </c>
      <c r="I28">
        <v>2</v>
      </c>
    </row>
    <row r="29" spans="2:9" x14ac:dyDescent="0.25">
      <c r="B29" s="24" t="s">
        <v>134</v>
      </c>
      <c r="C29" s="25">
        <v>2243.7029999999995</v>
      </c>
      <c r="F29" s="24" t="s">
        <v>69</v>
      </c>
      <c r="G29">
        <v>1</v>
      </c>
      <c r="I29">
        <v>1</v>
      </c>
    </row>
    <row r="30" spans="2:9" x14ac:dyDescent="0.25">
      <c r="F30" s="24" t="s">
        <v>85</v>
      </c>
      <c r="G30">
        <v>1</v>
      </c>
      <c r="I30">
        <v>1</v>
      </c>
    </row>
    <row r="31" spans="2:9" x14ac:dyDescent="0.25">
      <c r="F31" s="24" t="s">
        <v>38</v>
      </c>
      <c r="G31">
        <v>1</v>
      </c>
      <c r="I31">
        <v>1</v>
      </c>
    </row>
    <row r="32" spans="2:9" x14ac:dyDescent="0.25">
      <c r="F32" s="24" t="s">
        <v>73</v>
      </c>
      <c r="G32">
        <v>1</v>
      </c>
      <c r="I32">
        <v>1</v>
      </c>
    </row>
    <row r="33" spans="2:9" ht="18.75" x14ac:dyDescent="0.3">
      <c r="B33" s="32" t="s">
        <v>146</v>
      </c>
      <c r="C33" s="32"/>
      <c r="F33" s="24" t="s">
        <v>58</v>
      </c>
      <c r="G33">
        <v>2</v>
      </c>
      <c r="I33">
        <v>2</v>
      </c>
    </row>
    <row r="34" spans="2:9" x14ac:dyDescent="0.25">
      <c r="F34" s="24" t="s">
        <v>116</v>
      </c>
      <c r="G34">
        <v>1</v>
      </c>
      <c r="I34">
        <v>1</v>
      </c>
    </row>
    <row r="35" spans="2:9" x14ac:dyDescent="0.25">
      <c r="B35" s="23" t="s">
        <v>132</v>
      </c>
      <c r="C35" t="s">
        <v>138</v>
      </c>
      <c r="F35" s="24" t="s">
        <v>100</v>
      </c>
      <c r="G35">
        <v>1</v>
      </c>
      <c r="H35">
        <v>1</v>
      </c>
      <c r="I35">
        <v>2</v>
      </c>
    </row>
    <row r="36" spans="2:9" x14ac:dyDescent="0.25">
      <c r="B36" s="24" t="s">
        <v>135</v>
      </c>
      <c r="C36" s="25">
        <v>154.8608387096773</v>
      </c>
      <c r="F36" s="24" t="s">
        <v>12</v>
      </c>
      <c r="G36">
        <v>1</v>
      </c>
      <c r="I36">
        <v>1</v>
      </c>
    </row>
    <row r="37" spans="2:9" x14ac:dyDescent="0.25">
      <c r="B37" s="24" t="s">
        <v>136</v>
      </c>
      <c r="C37" s="25">
        <v>156.7225</v>
      </c>
      <c r="F37" s="24" t="s">
        <v>30</v>
      </c>
      <c r="G37">
        <v>1</v>
      </c>
      <c r="I37">
        <v>1</v>
      </c>
    </row>
    <row r="38" spans="2:9" x14ac:dyDescent="0.25">
      <c r="B38" s="24" t="s">
        <v>134</v>
      </c>
      <c r="C38" s="25">
        <v>155.07359999999986</v>
      </c>
      <c r="F38" s="24" t="s">
        <v>46</v>
      </c>
      <c r="G38">
        <v>1</v>
      </c>
      <c r="I38">
        <v>1</v>
      </c>
    </row>
    <row r="39" spans="2:9" x14ac:dyDescent="0.25">
      <c r="F39" s="24" t="s">
        <v>22</v>
      </c>
      <c r="G39">
        <v>1</v>
      </c>
      <c r="I39">
        <v>1</v>
      </c>
    </row>
    <row r="40" spans="2:9" x14ac:dyDescent="0.25">
      <c r="F40" s="24" t="s">
        <v>92</v>
      </c>
      <c r="G40">
        <v>2</v>
      </c>
      <c r="I40">
        <v>2</v>
      </c>
    </row>
    <row r="41" spans="2:9" x14ac:dyDescent="0.25">
      <c r="F41" s="24" t="s">
        <v>79</v>
      </c>
      <c r="G41">
        <v>1</v>
      </c>
      <c r="I41">
        <v>1</v>
      </c>
    </row>
    <row r="42" spans="2:9" x14ac:dyDescent="0.25">
      <c r="F42" s="24" t="s">
        <v>63</v>
      </c>
      <c r="G42">
        <v>1</v>
      </c>
      <c r="I42">
        <v>1</v>
      </c>
    </row>
    <row r="43" spans="2:9" x14ac:dyDescent="0.25">
      <c r="F43" s="24" t="s">
        <v>106</v>
      </c>
      <c r="G43">
        <v>1</v>
      </c>
      <c r="H43">
        <v>1</v>
      </c>
      <c r="I43">
        <v>2</v>
      </c>
    </row>
    <row r="44" spans="2:9" x14ac:dyDescent="0.25">
      <c r="F44" s="24" t="s">
        <v>40</v>
      </c>
      <c r="G44">
        <v>1</v>
      </c>
      <c r="I44">
        <v>1</v>
      </c>
    </row>
    <row r="45" spans="2:9" x14ac:dyDescent="0.25">
      <c r="F45" s="24" t="s">
        <v>34</v>
      </c>
      <c r="G45">
        <v>1</v>
      </c>
      <c r="I45">
        <v>1</v>
      </c>
    </row>
    <row r="46" spans="2:9" x14ac:dyDescent="0.25">
      <c r="F46" s="24" t="s">
        <v>114</v>
      </c>
      <c r="G46">
        <v>1</v>
      </c>
      <c r="I46">
        <v>1</v>
      </c>
    </row>
    <row r="47" spans="2:9" x14ac:dyDescent="0.25">
      <c r="F47" s="24" t="s">
        <v>52</v>
      </c>
      <c r="G47">
        <v>1</v>
      </c>
      <c r="I47">
        <v>1</v>
      </c>
    </row>
    <row r="48" spans="2:9" x14ac:dyDescent="0.25">
      <c r="F48" s="24" t="s">
        <v>16</v>
      </c>
      <c r="G48">
        <v>2</v>
      </c>
      <c r="I48">
        <v>2</v>
      </c>
    </row>
    <row r="49" spans="2:9" x14ac:dyDescent="0.25">
      <c r="F49" s="24" t="s">
        <v>98</v>
      </c>
      <c r="G49">
        <v>1</v>
      </c>
      <c r="H49">
        <v>1</v>
      </c>
      <c r="I49">
        <v>2</v>
      </c>
    </row>
    <row r="50" spans="2:9" x14ac:dyDescent="0.25">
      <c r="F50" s="24" t="s">
        <v>71</v>
      </c>
      <c r="G50">
        <v>1</v>
      </c>
      <c r="I50">
        <v>1</v>
      </c>
    </row>
    <row r="51" spans="2:9" x14ac:dyDescent="0.25">
      <c r="F51" s="24" t="s">
        <v>36</v>
      </c>
      <c r="G51">
        <v>1</v>
      </c>
      <c r="I51">
        <v>1</v>
      </c>
    </row>
    <row r="52" spans="2:9" x14ac:dyDescent="0.25">
      <c r="F52" s="24" t="s">
        <v>26</v>
      </c>
      <c r="G52">
        <v>1</v>
      </c>
      <c r="I52">
        <v>1</v>
      </c>
    </row>
    <row r="53" spans="2:9" x14ac:dyDescent="0.25">
      <c r="F53" s="24" t="s">
        <v>77</v>
      </c>
      <c r="G53">
        <v>1</v>
      </c>
      <c r="I53">
        <v>1</v>
      </c>
    </row>
    <row r="54" spans="2:9" x14ac:dyDescent="0.25">
      <c r="F54" s="24" t="s">
        <v>104</v>
      </c>
      <c r="G54">
        <v>1</v>
      </c>
      <c r="H54">
        <v>1</v>
      </c>
      <c r="I54">
        <v>2</v>
      </c>
    </row>
    <row r="55" spans="2:9" x14ac:dyDescent="0.25">
      <c r="F55" s="24" t="s">
        <v>90</v>
      </c>
      <c r="G55">
        <v>2</v>
      </c>
      <c r="I55">
        <v>2</v>
      </c>
    </row>
    <row r="56" spans="2:9" x14ac:dyDescent="0.25">
      <c r="F56" s="24" t="s">
        <v>61</v>
      </c>
      <c r="G56">
        <v>1</v>
      </c>
      <c r="I56">
        <v>1</v>
      </c>
    </row>
    <row r="57" spans="2:9" x14ac:dyDescent="0.25">
      <c r="F57" s="24" t="s">
        <v>32</v>
      </c>
      <c r="G57">
        <v>1</v>
      </c>
      <c r="I57">
        <v>1</v>
      </c>
    </row>
    <row r="58" spans="2:9" x14ac:dyDescent="0.25">
      <c r="F58" s="24" t="s">
        <v>140</v>
      </c>
      <c r="G58">
        <v>62</v>
      </c>
      <c r="H58">
        <v>8</v>
      </c>
      <c r="I58">
        <v>70</v>
      </c>
    </row>
    <row r="62" spans="2:9" x14ac:dyDescent="0.25">
      <c r="B62" t="s">
        <v>141</v>
      </c>
    </row>
  </sheetData>
  <mergeCells count="5">
    <mergeCell ref="B3:C3"/>
    <mergeCell ref="B12:C12"/>
    <mergeCell ref="B21:C21"/>
    <mergeCell ref="B33:C33"/>
    <mergeCell ref="F3:I3"/>
  </mergeCells>
  <conditionalFormatting sqref="F7:I58">
    <cfRule type="expression" dxfId="1" priority="4">
      <formula>AND($G7&gt;0, $H7&gt;0)</formula>
    </cfRule>
  </conditionalFormatting>
  <conditionalFormatting sqref="K59:N99">
    <cfRule type="expression" dxfId="0" priority="2">
      <formula>AND($L59&gt;0, $M59&gt;0)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E02B6-CDCF-4693-942C-2D48C2C9224C}">
  <dimension ref="N2:AF23"/>
  <sheetViews>
    <sheetView showGridLines="0" tabSelected="1" zoomScale="70" zoomScaleNormal="70" workbookViewId="0">
      <selection activeCell="AL45" sqref="AL45"/>
    </sheetView>
  </sheetViews>
  <sheetFormatPr defaultRowHeight="15" x14ac:dyDescent="0.25"/>
  <cols>
    <col min="3" max="3" width="14.28515625" bestFit="1" customWidth="1"/>
    <col min="4" max="4" width="18.140625" bestFit="1" customWidth="1"/>
    <col min="5" max="5" width="14.28515625" bestFit="1" customWidth="1"/>
    <col min="6" max="6" width="18.140625" bestFit="1" customWidth="1"/>
  </cols>
  <sheetData>
    <row r="2" spans="14:32" ht="34.5" x14ac:dyDescent="0.55000000000000004">
      <c r="N2" s="33" t="s">
        <v>148</v>
      </c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</row>
    <row r="3" spans="14:32" ht="21" x14ac:dyDescent="0.35"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9"/>
      <c r="AE3" s="29"/>
    </row>
    <row r="9" spans="14:32" x14ac:dyDescent="0.25">
      <c r="W9" s="31"/>
      <c r="X9" s="30"/>
    </row>
    <row r="23" spans="31:31" x14ac:dyDescent="0.25">
      <c r="AE23" s="28"/>
    </row>
  </sheetData>
  <mergeCells count="1">
    <mergeCell ref="N2:A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 Data</vt:lpstr>
      <vt:lpstr>Pivots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bilal tariq</cp:lastModifiedBy>
  <dcterms:created xsi:type="dcterms:W3CDTF">2024-02-19T11:17:54Z</dcterms:created>
  <dcterms:modified xsi:type="dcterms:W3CDTF">2026-09-20T11:55:07Z</dcterms:modified>
</cp:coreProperties>
</file>